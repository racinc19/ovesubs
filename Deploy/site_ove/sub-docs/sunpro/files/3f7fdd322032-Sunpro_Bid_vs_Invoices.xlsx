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ca843078f49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npro" sheetId="1" r:id="Re3d75fb0c7264c7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  <x:family val="2"/>
      <x:scheme val="minor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">
    <x:xf numFmtId="0" fontId="0" fillId="0" borderId="0" xfId="0"/>
    <x:xf numFmtId="0" fontId="1" fillId="0" borderId="0" xfId="0"/>
    <x:xf numFmtId="4" fontId="0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6216f1b474506" /><Relationship Type="http://schemas.openxmlformats.org/officeDocument/2006/relationships/theme" Target="/xl/theme/theme1.xml" Id="Rb57192bed1eb44ec" /><Relationship Type="http://schemas.openxmlformats.org/officeDocument/2006/relationships/sharedStrings" Target="/xl/sharedStrings.xml" Id="R79cd722f95be4068" /><Relationship Type="http://schemas.openxmlformats.org/officeDocument/2006/relationships/worksheet" Target="/xl/worksheets/sheet1.xml" Id="Re3d75fb0c7264c7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2" max="2" width="28" customWidth="1"/>
    <x:col min="10" max="10" width="60" customWidth="1"/>
    <x:col min="13" max="13" width="18" customWidth="1"/>
  </x:cols>
  <x:sheetData>
    <x:row r="1">
      <x:c r="A1" s="1" t="inlineStr">
        <x:is>
          <x:t xml:space="preserve">#</x:t>
        </x:is>
      </x:c>
      <x:c r="B1" s="1" t="inlineStr">
        <x:is>
          <x:t xml:space="preserve">Description</x:t>
        </x:is>
      </x:c>
      <x:c r="C1" s="1" t="inlineStr">
        <x:is>
          <x:t xml:space="preserve">Bid Qty</x:t>
        </x:is>
      </x:c>
      <x:c r="D1" s="1" t="inlineStr">
        <x:is>
          <x:t xml:space="preserve">Unit</x:t>
        </x:is>
      </x:c>
      <x:c r="E1" s="1" t="inlineStr">
        <x:is>
          <x:t xml:space="preserve">Bid Rate</x:t>
        </x:is>
      </x:c>
      <x:c r="F1" s="1" t="inlineStr">
        <x:is>
          <x:t xml:space="preserve">Bid Total</x:t>
        </x:is>
      </x:c>
      <x:c r="G1" t="inlineStr">
        <x:is>
          <x:t xml:space="preserve">Inv 3890718 (6/29/26)</x:t>
        </x:is>
      </x:c>
      <x:c r="H1" t="inlineStr">
        <x:is>
          <x:t xml:space="preserve">Inv 3891720 (6/29/26)</x:t>
        </x:is>
      </x:c>
      <x:c r="I1" s="1" t="inlineStr">
        <x:is>
          <x:t xml:space="preserve">Inv 3894241 (7/1/26)</x:t>
        </x:is>
      </x:c>
      <x:c r="J1" t="inlineStr">
        <x:is>
          <x:t xml:space="preserve">Inv 3900730 (due 8/9/26)</x:t>
        </x:is>
      </x:c>
      <x:c r="K1" t="inlineStr">
        <x:is>
          <x:t xml:space="preserve">Credit 255676 (7/30/26)</x:t>
        </x:is>
      </x:c>
      <x:c r="L1" t="inlineStr">
        <x:is>
          <x:t xml:space="preserve">Inv 3920799 (7/30/26)</x:t>
        </x:is>
      </x:c>
      <x:c r="M1" t="inlineStr">
        <x:is>
          <x:t xml:space="preserve">Inv 3921247 (due 8/31/26)</x:t>
        </x:is>
      </x:c>
      <x:c r="N1" t="inlineStr">
        <x:is>
          <x:t xml:space="preserve">Inv 3897876 (due 8/6/26)</x:t>
        </x:is>
      </x:c>
      <x:c r="O1" t="inlineStr">
        <x:is>
          <x:t xml:space="preserve">Inv 3899137 (due 8/7/26)</x:t>
        </x:is>
      </x:c>
      <x:c r="P1" t="inlineStr">
        <x:is>
          <x:t xml:space="preserve">Inv 3899710 (due 8/8/26)</x:t>
        </x:is>
      </x:c>
      <x:c r="Q1" t="inlineStr">
        <x:is>
          <x:t xml:space="preserve">Inv 3902213 (due 8/10/26)</x:t>
        </x:is>
      </x:c>
      <x:c r="R1" t="inlineStr">
        <x:is>
          <x:t xml:space="preserve">Inv 3907414 (due 8/16/26)</x:t>
        </x:is>
      </x:c>
      <x:c r="S1" t="inlineStr">
        <x:is>
          <x:t xml:space="preserve">Credit 257064 (8/20/26)</x:t>
        </x:is>
      </x:c>
      <x:c r="T1" s="1" t="inlineStr">
        <x:is>
          <x:t xml:space="preserve">Billed to date</x:t>
        </x:is>
      </x:c>
      <x:c r="U1" s="1" t="inlineStr">
        <x:is>
          <x:t xml:space="preserve">Remaining vs bid</x:t>
        </x:is>
      </x:c>
      <x:c r="V1" s="1" t="inlineStr">
        <x:is>
          <x:t xml:space="preserve">Notes</x:t>
        </x:is>
      </x:c>
      <x:c r="W1" t="str">
        <x:v>Inv 3984650 (10/08/26)</x:v>
      </x:c>
    </x:row>
    <x:row r="2">
      <x:c r="A2" t="inlineStr">
        <x:is>
          <x:t xml:space="preserve">MATERIALS PACKAGE</x:t>
        </x:is>
      </x:c>
    </x:row>
    <x:row r="3">
      <x:c r="A3" t="n">
        <x:v>1</x:v>
      </x:c>
      <x:c r="B3" t="inlineStr">
        <x:is>
          <x:t xml:space="preserve">Lumber package</x:t>
        </x:is>
      </x:c>
      <x:c r="C3" t="n">
        <x:v>1</x:v>
      </x:c>
      <x:c r="D3" t="inlineStr">
        <x:is>
          <x:t xml:space="preserve">LS</x:t>
        </x:is>
      </x:c>
      <x:c r="E3" t="n">
        <x:v>75000</x:v>
      </x:c>
      <x:c r="F3" t="n">
        <x:v>75000</x:v>
      </x:c>
      <x:c r="G3" t="n">
        <x:v>4531.05</x:v>
      </x:c>
      <x:c r="T3" s="2" t="n">
        <x:v>4531.05</x:v>
      </x:c>
      <x:c r="U3" s="2" t="n">
        <x:v>70468.95</x:v>
      </x:c>
      <x:c r="V3" t="inlineStr">
        <x:is>
          <x:t xml:space="preserve">Inv 3890718 (6/29/26): framing lumber pkg — studs, plates, T&amp;G OSB, LSL band board, Simpson pins, delivery+fuel. $4,251.31 + $279.74 tax = $4,531.05. Job 746 Liberty Lane, SO 19267935. Due 7/30/26.</x:t>
        </x:is>
      </x:c>
    </x:row>
    <x:row r="4">
      <x:c r="A4" t="n">
        <x:v>2</x:v>
      </x:c>
      <x:c r="B4" t="inlineStr">
        <x:is>
          <x:t xml:space="preserve">Door package</x:t>
        </x:is>
      </x:c>
      <x:c r="C4" t="n">
        <x:v>1</x:v>
      </x:c>
      <x:c r="D4" t="inlineStr">
        <x:is>
          <x:t xml:space="preserve">LS</x:t>
        </x:is>
      </x:c>
      <x:c r="E4" t="n">
        <x:v>31350</x:v>
      </x:c>
      <x:c r="F4" t="n">
        <x:v>31350</x:v>
      </x:c>
      <x:c r="T4" s="2" t="n">
        <x:v>0</x:v>
      </x:c>
      <x:c r="U4" s="2" t="n">
        <x:v>31350</x:v>
      </x:c>
    </x:row>
    <x:row r="5">
      <x:c r="A5" t="n">
        <x:v>3</x:v>
      </x:c>
      <x:c r="B5" t="inlineStr">
        <x:is>
          <x:t xml:space="preserve">Truss package</x:t>
        </x:is>
      </x:c>
      <x:c r="C5" t="n">
        <x:v>1</x:v>
      </x:c>
      <x:c r="D5" t="inlineStr">
        <x:is>
          <x:t xml:space="preserve">LS</x:t>
        </x:is>
      </x:c>
      <x:c r="E5" t="n">
        <x:v>62200</x:v>
      </x:c>
      <x:c r="F5" t="n">
        <x:v>62200</x:v>
      </x:c>
      <x:c r="H5" t="n">
        <x:v>3100</x:v>
      </x:c>
      <x:c r="R5" s="2" t="n">
        <x:v>40400</x:v>
      </x:c>
      <x:c r="T5" s="2" t="n">
        <x:v>43500</x:v>
      </x:c>
      <x:c r="U5" s="2" t="n">
        <x:v>18700</x:v>
      </x:c>
      <x:c r="V5" t="inlineStr">
        <x:is>
          <x:t xml:space="preserve">Inv 3891720 (6/29/26): main floor truss package #254084-MF, PO 254084-MF. $2,919.79 + $180.21 tax = $3,100.00. Job 746 Liberty Lane, SO 19232240. Due 7/30/26. Inv 3907414 (7/16/26): upper floor truss package #254084-UF plus delivery for 746 Liberty Lane, $37,861.24 + $2,538.76 tax = $40,400.00, due 8/16/26.</x:t>
        </x:is>
      </x:c>
    </x:row>
    <x:row r="6">
      <x:c r="A6" t="n">
        <x:v>4</x:v>
      </x:c>
      <x:c r="B6" t="inlineStr">
        <x:is>
          <x:t xml:space="preserve">Base &amp; Case</x:t>
        </x:is>
      </x:c>
      <x:c r="C6" t="n">
        <x:v>1</x:v>
      </x:c>
      <x:c r="D6" t="inlineStr">
        <x:is>
          <x:t xml:space="preserve">LS</x:t>
        </x:is>
      </x:c>
      <x:c r="E6" t="n">
        <x:v>5500</x:v>
      </x:c>
      <x:c r="F6" t="n">
        <x:v>5500</x:v>
      </x:c>
      <x:c r="T6" s="2" t="n">
        <x:v>0</x:v>
      </x:c>
      <x:c r="U6" s="2" t="n">
        <x:v>5500</x:v>
      </x:c>
    </x:row>
    <x:row r="7">
      <x:c r="A7" t="n">
        <x:v>5</x:v>
      </x:c>
      <x:c r="B7" t="inlineStr">
        <x:is>
          <x:t xml:space="preserve">Hardware</x:t>
        </x:is>
      </x:c>
      <x:c r="C7" t="n">
        <x:v>1</x:v>
      </x:c>
      <x:c r="D7" t="inlineStr">
        <x:is>
          <x:t xml:space="preserve">LS</x:t>
        </x:is>
      </x:c>
      <x:c r="E7" t="n">
        <x:v>5500</x:v>
      </x:c>
      <x:c r="F7" t="n">
        <x:v>5500</x:v>
      </x:c>
      <x:c r="I7" t="n">
        <x:v>93</x:v>
      </x:c>
      <x:c r="J7" s="2" t="n">
        <x:v>27.74</x:v>
      </x:c>
      <x:c r="K7" s="2" t="n">
        <x:v>-2162.05</x:v>
      </x:c>
      <x:c r="L7" s="2" t="n">
        <x:v>2162.05</x:v>
      </x:c>
      <x:c r="M7" s="2" t="n">
        <x:v>2162.05</x:v>
      </x:c>
      <x:c r="N7" s="2" t="n">
        <x:v>4030.29</x:v>
      </x:c>
      <x:c r="O7" s="2" t="n">
        <x:v>1962.25</x:v>
      </x:c>
      <x:c r="P7" s="2" t="n">
        <x:v>131.4</x:v>
      </x:c>
      <x:c r="Q7" s="2" t="n">
        <x:v>128.61</x:v>
      </x:c>
      <x:c r="S7" t="n">
        <x:v>-3447.8</x:v>
      </x:c>
      <x:c r="T7" s="2" t="n">
        <x:f>SUM(G7:S7)+W7</x:f>
        <x:v>5626.45</x:v>
      </x:c>
      <x:c r="U7" s="2" t="n">
        <x:f>F7-T7</x:f>
        <x:v>-126.44999999999982</x:v>
      </x:c>
      <x:c r="V7" t="str">
        <x:v>Inv 3894241 (7/1/26): Simpson SDS wood screws box, $87.12 + $5.88 tax = $93.00. Job 746 Liberty Lane. Due 8/1/26. Credit 255676 (7/30/26): price-correction credit against invoice 3920799 / order 19430770, rebar, strap tie holdowns, anchor bolts, and bearing plates, total credit $2,162.05. Inv 3920799 (7/30/26): same materials delivered to 746 Liberty Lane, $2,025.34 + $136.71 tax = $2,162.05, due 8/30/26. Inv 3921247 (7/31/26): corrected payable hardware and rebar invoice after the 7/30 invoice/credit pair; rebar, strap tie holdowns, anchor bolts, and bearing plates for 746 Liberty Lane. $2,025.34 + $136.71 tax = $2,162.05, due 8/31/26. Inv 3897876 (7/6/26): Simpson strong-wall anchor bolt/templates plus delivery/fuel for 746 Liberty Lane, $3,783.55 + $246.74 tax = $4,030.29, due 8/6/26. Inv 3899137 (7/7/26): Sunpro material/delivery charge for 746 Liberty Lane, $1,844.23 + $118.02 tax = $1,962.25, due 8/7/26. Inv 3899710 (7/8/26): Sunpro material charge for 746 Liberty Lane, $123.09 + $8.31 tax = $131.40, due 8/8/26. Inv 3902213 (7/10/26): Sunpro material charge for 746 Liberty Lane, $120.48 + $8.13 tax = $128.61, due 8/10/26. Credit 257064 (8/20/26): return/credit against invoice 3897876 / order 19312055, Simpson Strong Wall shearwall materials for 746 Liberty Lane. Total credit $3,447.80 ($3,229.79 materials + $218.01 tax). Invoice 3984650: $538.91, hardware, dated October 8, 2026; due November 8. No payment recorded.</x:v>
      </x:c>
      <x:c r="W7" t="n">
        <x:v>538.91</x:v>
      </x:c>
    </x:row>
    <x:row r="9">
      <x:c r="B9" t="inlineStr">
        <x:is>
          <x:t xml:space="preserve">CONTRACT TOTAL</x:t>
        </x:is>
      </x:c>
      <x:c r="F9" t="n">
        <x:v>179550</x:v>
      </x:c>
    </x:row>
    <x:row r="10">
      <x:c r="B10" t="inlineStr">
        <x:is>
          <x:t xml:space="preserve">BILLED TO DATE</x:t>
        </x:is>
      </x:c>
      <x:c r="G10" s="2" t="n">
        <x:v>4531.05</x:v>
      </x:c>
      <x:c r="H10" s="2" t="n">
        <x:v>3100</x:v>
      </x:c>
      <x:c r="I10" s="2" t="n">
        <x:v>93</x:v>
      </x:c>
      <x:c r="J10" s="2" t="n">
        <x:v>27.74</x:v>
      </x:c>
      <x:c r="K10" s="2" t="n">
        <x:v>-2162.05</x:v>
      </x:c>
      <x:c r="L10" s="2" t="n">
        <x:v>2162.05</x:v>
      </x:c>
      <x:c r="M10" s="2" t="n">
        <x:v>2162.05</x:v>
      </x:c>
      <x:c r="N10" s="2" t="n">
        <x:v>4030.29</x:v>
      </x:c>
      <x:c r="O10" s="2" t="n">
        <x:v>1962.25</x:v>
      </x:c>
      <x:c r="P10" s="2" t="n">
        <x:v>131.4</x:v>
      </x:c>
      <x:c r="Q10" s="2" t="n">
        <x:v>128.61</x:v>
      </x:c>
      <x:c r="R10" s="2" t="n">
        <x:v>40400</x:v>
      </x:c>
      <x:c r="S10" t="n">
        <x:v>-3447.8</x:v>
      </x:c>
      <x:c r="T10" s="2" t="n">
        <x:f>SUM(T3:T8)</x:f>
        <x:v>53657.5</x:v>
      </x:c>
      <x:c r="W10" t="n">
        <x:f>SUM(W3:W8)</x:f>
        <x:v>538.91</x:v>
      </x:c>
    </x:row>
    <x:row r="11">
      <x:c r="B11" t="inlineStr">
        <x:is>
          <x:t xml:space="preserve">REMAINING ON CONTRACT</x:t>
        </x:is>
      </x:c>
      <x:c r="T11" s="2" t="n">
        <x:f>F9-T10</x:f>
        <x:v>125892.5</x:v>
      </x:c>
    </x:row>
  </x:sheetData>
  <x:pageMargins left="0.7" right="0.7" top="0.75" bottom="0.75" header="0.3" footer="0.3"/>
</x:worksheet>
</file>