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 Level" sheetId="1" state="visible" r:id="rId3"/>
    <sheet name="Summary" sheetId="2" state="visible" r:id="rId4"/>
    <sheet name="Upper Level" sheetId="3" state="visible" r:id="rId5"/>
    <sheet name="Basement Level" sheetId="4" state="visible" r:id="rId6"/>
    <sheet name="ADU" sheetId="5" state="visible" r:id="rId7"/>
    <sheet name="Hardware" sheetId="6" state="visible" r:id="rId8"/>
    <sheet name="Steel (Separate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<sst xmlns="http://schemas.openxmlformats.org/spreadsheetml/2006/main" count="481" uniqueCount="270">
  <si>
    <t xml:space="preserve">RODRIGUEZ RESIDENCE - MAIN LEVEL LUMBER TAKEOFF</t>
  </si>
  <si>
    <t xml:space="preserve">Description</t>
  </si>
  <si>
    <t xml:space="preserve">Size</t>
  </si>
  <si>
    <t xml:space="preserve">Qty</t>
  </si>
  <si>
    <t xml:space="preserve">Unit</t>
  </si>
  <si>
    <t xml:space="preserve">Total LF/EA</t>
  </si>
  <si>
    <t xml:space="preserve">Notes</t>
  </si>
  <si>
    <t xml:space="preserve">EXTERIOR WALLS - 2x6 @ 16" O.C. (LSL for walls &gt;12')</t>
  </si>
  <si>
    <t xml:space="preserve">LSL studs - Living Room (26' walls)</t>
  </si>
  <si>
    <t xml:space="preserve">1⅝x14 LSL-26</t>
  </si>
  <si>
    <t xml:space="preserve">EA</t>
  </si>
  <si>
    <t xml:space="preserve">1⅝x14 LSL @ 5" O.C. per S1 (~25 LF)</t>
  </si>
  <si>
    <t xml:space="preserve">LSL studs - Entry (20' walls)</t>
  </si>
  <si>
    <t xml:space="preserve">1⅝x6 LSL-20</t>
  </si>
  <si>
    <t xml:space="preserve">1⅝x6 LSL @ 16" O.C.</t>
  </si>
  <si>
    <t xml:space="preserve">Exterior studs - Standard (10' walls)</t>
  </si>
  <si>
    <t xml:space="preserve">2x6x10 #2</t>
  </si>
  <si>
    <t xml:space="preserve">~350 LF perimeter @ 16" O.C.</t>
  </si>
  <si>
    <t xml:space="preserve">Exterior studs - Garage (12' walls)</t>
  </si>
  <si>
    <t xml:space="preserve">2x6x12 #2</t>
  </si>
  <si>
    <t xml:space="preserve">~128 LF garage perimeter</t>
  </si>
  <si>
    <t xml:space="preserve">Bottom plates - Exterior</t>
  </si>
  <si>
    <t xml:space="preserve">2x6x16 #2</t>
  </si>
  <si>
    <t xml:space="preserve">~440 LF total ext walls</t>
  </si>
  <si>
    <t xml:space="preserve">Double top plates - Exterior</t>
  </si>
  <si>
    <t xml:space="preserve">2 rows x 28 pcs</t>
  </si>
  <si>
    <t xml:space="preserve">Subtotal Exterior Wall LF:</t>
  </si>
  <si>
    <t xml:space="preserve">INTERIOR WALLS - 2x4 #2 @ 16" O.C.</t>
  </si>
  <si>
    <t xml:space="preserve">Interior studs - 10' walls</t>
  </si>
  <si>
    <t xml:space="preserve">2x4x10 #2</t>
  </si>
  <si>
    <t xml:space="preserve">~300 LF int walls @ 16" O.C.</t>
  </si>
  <si>
    <t xml:space="preserve">Interior studs - 12' walls (Garage area)</t>
  </si>
  <si>
    <t xml:space="preserve">2x4x12 #2</t>
  </si>
  <si>
    <t xml:space="preserve">Per S2 garage 12' ceiling</t>
  </si>
  <si>
    <t xml:space="preserve">Bottom plates - Interior</t>
  </si>
  <si>
    <t xml:space="preserve">2x4x16 #2</t>
  </si>
  <si>
    <t xml:space="preserve">~320 LF total int walls</t>
  </si>
  <si>
    <t xml:space="preserve">Double top plates - Interior</t>
  </si>
  <si>
    <t xml:space="preserve">2 rows x 20 pcs</t>
  </si>
  <si>
    <t xml:space="preserve">Subtotal Interior Wall LF:</t>
  </si>
  <si>
    <t xml:space="preserve">SPECIAL FRAMING - 8" PSL Walls per S2</t>
  </si>
  <si>
    <t xml:space="preserve">PSL studs - 8" walls @ 16" O.C.</t>
  </si>
  <si>
    <t xml:space="preserve">1⅝x7½ PSL-10</t>
  </si>
  <si>
    <t xml:space="preserve">Per wall framing table 8" walls</t>
  </si>
  <si>
    <t xml:space="preserve">Subtotal Special Framing LF:</t>
  </si>
  <si>
    <t xml:space="preserve">HEADERS #2 - Per Door/Window Schedule A104</t>
  </si>
  <si>
    <t xml:space="preserve">Double 2x6 headers - 3'-2" openings</t>
  </si>
  <si>
    <t xml:space="preserve">2x6x4 #2</t>
  </si>
  <si>
    <t xml:space="preserve">10 ext doors x 2 + 10 int</t>
  </si>
  <si>
    <t xml:space="preserve">Double 2x6 headers - 6'-3" openings</t>
  </si>
  <si>
    <t xml:space="preserve">2x6x8 #2</t>
  </si>
  <si>
    <t xml:space="preserve">5 pocket + 1 closet + 1 iron</t>
  </si>
  <si>
    <t xml:space="preserve">LVL headers - Garage (20' spans)</t>
  </si>
  <si>
    <t xml:space="preserve">3½x14 LVL</t>
  </si>
  <si>
    <t xml:space="preserve">4 garage doors x 2 ply</t>
  </si>
  <si>
    <t xml:space="preserve">LVL headers - Windows</t>
  </si>
  <si>
    <t xml:space="preserve">3½x9½ LVL</t>
  </si>
  <si>
    <t xml:space="preserve">Avg 8' window headers</t>
  </si>
  <si>
    <t xml:space="preserve">Subtotal Headers LF:</t>
  </si>
  <si>
    <t xml:space="preserve">ENGINEERED BEAMS - Per S2 Floor Framing</t>
  </si>
  <si>
    <t xml:space="preserve">(3) 3½x14 LVL beam - Living/Kitchen</t>
  </si>
  <si>
    <t xml:space="preserve">~24' spans typ</t>
  </si>
  <si>
    <t xml:space="preserve">(4) 3½x14 LVL beam - Entry spans</t>
  </si>
  <si>
    <t xml:space="preserve">~20' spans</t>
  </si>
  <si>
    <t xml:space="preserve">(2) 3½x11⅞ LVL beam - Secondary</t>
  </si>
  <si>
    <t xml:space="preserve">3½x11⅞ LVL</t>
  </si>
  <si>
    <t xml:space="preserve">~16' spans</t>
  </si>
  <si>
    <t xml:space="preserve">(3) 3½x9½ LVL beam - Short spans</t>
  </si>
  <si>
    <t xml:space="preserve">~12' spans</t>
  </si>
  <si>
    <t xml:space="preserve">1¼x11⅞ Rim board</t>
  </si>
  <si>
    <t xml:space="preserve">1¼x11⅞ LVL</t>
  </si>
  <si>
    <t xml:space="preserve">~440 LF perimeter</t>
  </si>
  <si>
    <t xml:space="preserve">Subtotal Beams LF:</t>
  </si>
  <si>
    <t xml:space="preserve">WALL SHEATHING - 1" OX Board</t>
  </si>
  <si>
    <t xml:space="preserve">1" OX Board sheathing</t>
  </si>
  <si>
    <t xml:space="preserve">4x8</t>
  </si>
  <si>
    <t xml:space="preserve">SHT</t>
  </si>
  <si>
    <t xml:space="preserve">~5,760 SF ext walls</t>
  </si>
  <si>
    <t xml:space="preserve">1" OX Board sheathing (shearwalls)</t>
  </si>
  <si>
    <t xml:space="preserve">~1,440 SF shearwalls</t>
  </si>
  <si>
    <t xml:space="preserve">Subtotal Sheathing SF:</t>
  </si>
  <si>
    <t xml:space="preserve">BLOCKING &amp; MISCELLANEOUS #2</t>
  </si>
  <si>
    <t xml:space="preserve">Fire blocking - 2x4</t>
  </si>
  <si>
    <t xml:space="preserve">At floor/ceiling lines</t>
  </si>
  <si>
    <t xml:space="preserve">Fire blocking - 2x6</t>
  </si>
  <si>
    <t xml:space="preserve">Shear blocking - 2x</t>
  </si>
  <si>
    <t xml:space="preserve">Per DA callouts on S4/S5</t>
  </si>
  <si>
    <t xml:space="preserve">Cripples and trimmers</t>
  </si>
  <si>
    <t xml:space="preserve">At all openings</t>
  </si>
  <si>
    <t xml:space="preserve">Backing - 2x6</t>
  </si>
  <si>
    <t xml:space="preserve">Cabinet/fixture backing</t>
  </si>
  <si>
    <t xml:space="preserve">Subtotal Blocking LF:</t>
  </si>
  <si>
    <t xml:space="preserve">FLOOR DECK SHEATHING - 1.125 Advantec</t>
  </si>
  <si>
    <t xml:space="preserve">1.125" Advantec T&amp;G floor deck</t>
  </si>
  <si>
    <t xml:space="preserve">~4,480 SF main floor</t>
  </si>
  <si>
    <t xml:space="preserve">Subtotal Floor Deck SF:</t>
  </si>
  <si>
    <t xml:space="preserve">ROOF DECK SHEATHING - 5/8 CDX</t>
  </si>
  <si>
    <t xml:space="preserve">5/8" CDX plywood</t>
  </si>
  <si>
    <t xml:space="preserve">9,097 SF per A106</t>
  </si>
  <si>
    <t xml:space="preserve">1x3 Battens #2</t>
  </si>
  <si>
    <t xml:space="preserve">1x3x16</t>
  </si>
  <si>
    <t xml:space="preserve">9,097 SF @ 16" O.C.</t>
  </si>
  <si>
    <t xml:space="preserve">Subtotal Roof Deck SF:</t>
  </si>
  <si>
    <t xml:space="preserve">RODRIGUEZ RESIDENCE - LUMBER TAKEOFF SUMMARY</t>
  </si>
  <si>
    <t xml:space="preserve">Oak Valley Estates Lot 5, Kanarraville, Utah</t>
  </si>
  <si>
    <t xml:space="preserve">Total SF: 6,993 (Main ~4,400 + Upper ~1,500 + Basement ~1,100)</t>
  </si>
  <si>
    <t xml:space="preserve">Category</t>
  </si>
  <si>
    <t xml:space="preserve">Main Level</t>
  </si>
  <si>
    <t xml:space="preserve">Upper Level</t>
  </si>
  <si>
    <t xml:space="preserve">Basement</t>
  </si>
  <si>
    <t xml:space="preserve">ADU</t>
  </si>
  <si>
    <t xml:space="preserve">TOTAL</t>
  </si>
  <si>
    <t xml:space="preserve">2x6 Studs (LF)</t>
  </si>
  <si>
    <t xml:space="preserve">2x4 Studs (LF)</t>
  </si>
  <si>
    <t xml:space="preserve">Plates (LF)</t>
  </si>
  <si>
    <t xml:space="preserve">Headers (LF)</t>
  </si>
  <si>
    <t xml:space="preserve">LVL Beams (LF)</t>
  </si>
  <si>
    <t xml:space="preserve">Wall Sheathing (SF)</t>
  </si>
  <si>
    <t xml:space="preserve">Floor Deck (SF)</t>
  </si>
  <si>
    <t xml:space="preserve">Roof Deck (SF)</t>
  </si>
  <si>
    <t xml:space="preserve">NOTES:</t>
  </si>
  <si>
    <t xml:space="preserve">1. Trusses (floor and roof) excluded - by truss supplier</t>
  </si>
  <si>
    <t xml:space="preserve">2. Steel beams/columns on separate tab - by steel contractor</t>
  </si>
  <si>
    <t xml:space="preserve">3. Add 10-15% waste factor when ordering</t>
  </si>
  <si>
    <t xml:space="preserve">4. Verify all quantities against final approved plans before ordering</t>
  </si>
  <si>
    <t xml:space="preserve">5. Per structural plans S1-S8 by Rosenberg Engineering, Job# 14040-25</t>
  </si>
  <si>
    <t xml:space="preserve">RODRIGUEZ RESIDENCE - UPPER LEVEL LUMBER TAKEOFF</t>
  </si>
  <si>
    <t xml:space="preserve">EXTERIOR WALLS - 2x6 #2 @ 16" O.C.</t>
  </si>
  <si>
    <t xml:space="preserve">Exterior studs - 10' walls</t>
  </si>
  <si>
    <t xml:space="preserve">~175 LF perimeter @ 16" O.C.</t>
  </si>
  <si>
    <t xml:space="preserve">~175 LF total</t>
  </si>
  <si>
    <t xml:space="preserve">2 rows x 12 pcs</t>
  </si>
  <si>
    <t xml:space="preserve">~100 LF int walls @ 16" O.C.</t>
  </si>
  <si>
    <t xml:space="preserve">~100 LF total</t>
  </si>
  <si>
    <t xml:space="preserve">2 rows x 8 pcs</t>
  </si>
  <si>
    <t xml:space="preserve">HEADERS #2 - Per Door Schedule A104</t>
  </si>
  <si>
    <t xml:space="preserve">Double 2x6 headers - 2'-8" openings</t>
  </si>
  <si>
    <t xml:space="preserve">3 TMF doors + 3 pocket</t>
  </si>
  <si>
    <t xml:space="preserve">1 ext + 2 misc</t>
  </si>
  <si>
    <t xml:space="preserve">~1,750 SF ext walls</t>
  </si>
  <si>
    <t xml:space="preserve">At ceiling lines</t>
  </si>
  <si>
    <t xml:space="preserve">At openings</t>
  </si>
  <si>
    <t xml:space="preserve">Fixtures</t>
  </si>
  <si>
    <t xml:space="preserve">~1,536 SF upper floor</t>
  </si>
  <si>
    <t xml:space="preserve">RODRIGUEZ RESIDENCE - BASEMENT LEVEL LUMBER TAKEOFF</t>
  </si>
  <si>
    <t xml:space="preserve">INTERIOR PARTITIONS - 2x4 #2 @ 16" O.C. (Concrete ext walls)</t>
  </si>
  <si>
    <t xml:space="preserve">~60 LF int partitions</t>
  </si>
  <si>
    <t xml:space="preserve">Bottom plates (PT for slab contact)</t>
  </si>
  <si>
    <t xml:space="preserve">2x4x16 PT</t>
  </si>
  <si>
    <t xml:space="preserve">~60 LF total</t>
  </si>
  <si>
    <t xml:space="preserve">Top plates - Interior</t>
  </si>
  <si>
    <t xml:space="preserve">2 rows x 5 pcs</t>
  </si>
  <si>
    <t xml:space="preserve">HEADERS #2</t>
  </si>
  <si>
    <t xml:space="preserve">Double 2x4 headers - 2'-8" openings</t>
  </si>
  <si>
    <t xml:space="preserve">2x4x4 #2</t>
  </si>
  <si>
    <t xml:space="preserve">3 TMF doors</t>
  </si>
  <si>
    <t xml:space="preserve">Vault door frame - steel</t>
  </si>
  <si>
    <t xml:space="preserve">---</t>
  </si>
  <si>
    <t xml:space="preserve">By vault door supplier</t>
  </si>
  <si>
    <t xml:space="preserve">Blocking - 2x4</t>
  </si>
  <si>
    <t xml:space="preserve">At ceiling/wall intersections</t>
  </si>
  <si>
    <t xml:space="preserve">Furring strips for finishes</t>
  </si>
  <si>
    <t xml:space="preserve">1x3x16 #2</t>
  </si>
  <si>
    <t xml:space="preserve">Against concrete walls</t>
  </si>
  <si>
    <t xml:space="preserve">RODRIGUEZ RESIDENCE - ADU LUMBER TAKEOFF</t>
  </si>
  <si>
    <t xml:space="preserve">~120 LF perimeter @ 16" O.C.</t>
  </si>
  <si>
    <t xml:space="preserve">~120 LF total</t>
  </si>
  <si>
    <t xml:space="preserve">~48 LF int walls</t>
  </si>
  <si>
    <t xml:space="preserve">~48 LF total</t>
  </si>
  <si>
    <t xml:space="preserve">2 rows</t>
  </si>
  <si>
    <t xml:space="preserve">Double 2x6 headers - door openings</t>
  </si>
  <si>
    <t xml:space="preserve">4 doors</t>
  </si>
  <si>
    <t xml:space="preserve">Double 2x6 headers - windows</t>
  </si>
  <si>
    <t xml:space="preserve">4 windows</t>
  </si>
  <si>
    <t xml:space="preserve">~1,200 SF ext walls</t>
  </si>
  <si>
    <t xml:space="preserve">RODRIGUEZ RESIDENCE - HARDWARE TAKEOFF</t>
  </si>
  <si>
    <t xml:space="preserve">SIMPSON STRONG-TIE - Per Shearwall Plans S4/S5/S6</t>
  </si>
  <si>
    <t xml:space="preserve">STB16 Tie-down (main shearwalls)</t>
  </si>
  <si>
    <t xml:space="preserve">STB16</t>
  </si>
  <si>
    <t xml:space="preserve">Triangle symbols on S4/S5</t>
  </si>
  <si>
    <t xml:space="preserve">HTT6 Tie-down (heavy shearwalls)</t>
  </si>
  <si>
    <t xml:space="preserve">HTT6</t>
  </si>
  <si>
    <t xml:space="preserve">Per S4 legend</t>
  </si>
  <si>
    <t xml:space="preserve">STHD14 Tie-down (special frames)</t>
  </si>
  <si>
    <t xml:space="preserve">STHD14</t>
  </si>
  <si>
    <t xml:space="preserve">Filled triangle symbols</t>
  </si>
  <si>
    <t xml:space="preserve">MSTC50 Strap tie</t>
  </si>
  <si>
    <t xml:space="preserve">MSTC50</t>
  </si>
  <si>
    <t xml:space="preserve">Circle symbols on S4/S5</t>
  </si>
  <si>
    <t xml:space="preserve">MSTB6 Straps</t>
  </si>
  <si>
    <t xml:space="preserve">MSTB6</t>
  </si>
  <si>
    <t xml:space="preserve">Filled circles</t>
  </si>
  <si>
    <t xml:space="preserve">H2.5A Hurricane ties</t>
  </si>
  <si>
    <t xml:space="preserve">H2.5A</t>
  </si>
  <si>
    <t xml:space="preserve">At every roof truss</t>
  </si>
  <si>
    <t xml:space="preserve">A35 Framing angles</t>
  </si>
  <si>
    <t xml:space="preserve">A35</t>
  </si>
  <si>
    <t xml:space="preserve">Beam/column connections</t>
  </si>
  <si>
    <t xml:space="preserve">LUS28 Joist hangers</t>
  </si>
  <si>
    <t xml:space="preserve">LUS28</t>
  </si>
  <si>
    <t xml:space="preserve">Floor connections</t>
  </si>
  <si>
    <t xml:space="preserve">HU210 Heavy hangers (LVL)</t>
  </si>
  <si>
    <t xml:space="preserve">HU210</t>
  </si>
  <si>
    <t xml:space="preserve">LVL beam connections</t>
  </si>
  <si>
    <t xml:space="preserve">CB44 Post caps</t>
  </si>
  <si>
    <t xml:space="preserve">CB44</t>
  </si>
  <si>
    <t xml:space="preserve">Beam to post connections</t>
  </si>
  <si>
    <t xml:space="preserve">Total Simpson Hardware EA:</t>
  </si>
  <si>
    <t xml:space="preserve">ANCHOR BOLTS - Per Foundation Plan S6</t>
  </si>
  <si>
    <t xml:space="preserve">½" x 10" Anchor bolts @ 6' O.C.</t>
  </si>
  <si>
    <t xml:space="preserve">½x10 AB</t>
  </si>
  <si>
    <t xml:space="preserve">Standard sill anchor</t>
  </si>
  <si>
    <t xml:space="preserve">½" x 10" Anchor bolts @ 24" O.C. (shearwalls)</t>
  </si>
  <si>
    <t xml:space="preserve">SW2 per schedule</t>
  </si>
  <si>
    <t xml:space="preserve">5/8" x 10" Anchor bolts (heavy shearwalls)</t>
  </si>
  <si>
    <t xml:space="preserve">5/8x10 AB</t>
  </si>
  <si>
    <t xml:space="preserve">SW3/SW4 per schedule</t>
  </si>
  <si>
    <t xml:space="preserve">Simpson TITEN HD ¾" (per panel)</t>
  </si>
  <si>
    <t xml:space="preserve">TITEN HD</t>
  </si>
  <si>
    <t xml:space="preserve">SW4 both sides</t>
  </si>
  <si>
    <t xml:space="preserve">Total Anchor Bolts EA:</t>
  </si>
  <si>
    <t xml:space="preserve">FASTENERS - Per S8 General Notes</t>
  </si>
  <si>
    <t xml:space="preserve">16d sinker nails (framing)</t>
  </si>
  <si>
    <t xml:space="preserve">16d</t>
  </si>
  <si>
    <t xml:space="preserve">LB</t>
  </si>
  <si>
    <t xml:space="preserve">General framing</t>
  </si>
  <si>
    <t xml:space="preserve">10d common nails (sheathing)</t>
  </si>
  <si>
    <t xml:space="preserve">10d</t>
  </si>
  <si>
    <t xml:space="preserve">Roof deck</t>
  </si>
  <si>
    <t xml:space="preserve">8d common nails (sheathing 6" O.C.)</t>
  </si>
  <si>
    <t xml:space="preserve">8d</t>
  </si>
  <si>
    <t xml:space="preserve">Wall sheathing</t>
  </si>
  <si>
    <t xml:space="preserve">3" deck screws</t>
  </si>
  <si>
    <t xml:space="preserve">#10x3</t>
  </si>
  <si>
    <t xml:space="preserve">Advantec floor deck</t>
  </si>
  <si>
    <t xml:space="preserve">Simpson Strong-Drive SD screws</t>
  </si>
  <si>
    <t xml:space="preserve">SD9112</t>
  </si>
  <si>
    <t xml:space="preserve">Hardware attachment</t>
  </si>
  <si>
    <t xml:space="preserve">Total Fasteners LB:</t>
  </si>
  <si>
    <t xml:space="preserve">SHEARWALL SPECIFIC - Per Schedule S4/S5</t>
  </si>
  <si>
    <t xml:space="preserve">Simpson DSC drag strut connectors</t>
  </si>
  <si>
    <t xml:space="preserve">DSC</t>
  </si>
  <si>
    <t xml:space="preserve">DA callouts on plan</t>
  </si>
  <si>
    <t xml:space="preserve">Simpson CS16 continuous strap</t>
  </si>
  <si>
    <t xml:space="preserve">CS16</t>
  </si>
  <si>
    <t xml:space="preserve">Multi-story shearwalls</t>
  </si>
  <si>
    <t xml:space="preserve">Portal frame anchors (garage)</t>
  </si>
  <si>
    <t xml:space="preserve">PF</t>
  </si>
  <si>
    <t xml:space="preserve">SW-P per S5</t>
  </si>
  <si>
    <t xml:space="preserve">Total Shearwall Hardware EA:</t>
  </si>
  <si>
    <t xml:space="preserve">RODRIGUEZ RESIDENCE - STEEL BEAMS (BY STEEL CONTRACTOR)</t>
  </si>
  <si>
    <t xml:space="preserve">STEEL BEAMS - Per S2/S7 (BY STEEL CONTRACTOR)</t>
  </si>
  <si>
    <t xml:space="preserve">W6x40 beam - Living area</t>
  </si>
  <si>
    <t xml:space="preserve">W6x40</t>
  </si>
  <si>
    <t xml:space="preserve">~24' spans, verify w/ steel</t>
  </si>
  <si>
    <t xml:space="preserve">W8x31 beam - Entry/Kitchen</t>
  </si>
  <si>
    <t xml:space="preserve">W8x31</t>
  </si>
  <si>
    <t xml:space="preserve">W10x33 beam - Long spans</t>
  </si>
  <si>
    <t xml:space="preserve">W10x33</t>
  </si>
  <si>
    <t xml:space="preserve">~28' spans</t>
  </si>
  <si>
    <t xml:space="preserve">HSS 6x6x3/8 columns</t>
  </si>
  <si>
    <t xml:space="preserve">HSS6x6</t>
  </si>
  <si>
    <t xml:space="preserve">~12' heights</t>
  </si>
  <si>
    <t xml:space="preserve">3/8" base plates (typ)</t>
  </si>
  <si>
    <t xml:space="preserve">12x12x3/8</t>
  </si>
  <si>
    <t xml:space="preserve">Per S7 detail</t>
  </si>
  <si>
    <t xml:space="preserve">¾" anchor bolts for columns</t>
  </si>
  <si>
    <t xml:space="preserve">¾x12 AB</t>
  </si>
  <si>
    <t xml:space="preserve">4 per column</t>
  </si>
  <si>
    <t xml:space="preserve">NOTE: Steel quantities shown for reference only. Verify with structural engineer and steel fabricator.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</si>
</sst>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color rgb="FFFF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DCE4"/>
        <bgColor rgb="FFE2EFDA"/>
      </patternFill>
    </fill>
    <fill>
      <patternFill patternType="solid">
        <fgColor rgb="FFE2EFDA"/>
        <bgColor rgb="FFD6DC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8</v>
      </c>
      <c r="B5" s="4" t="s">
        <v>9</v>
      </c>
      <c r="C5" s="5" t="n">
        <v>60</v>
      </c>
      <c r="D5" s="4" t="s">
        <v>10</v>
      </c>
      <c r="E5" s="6" t="n">
        <f aca="false">C5*26</f>
        <v>1560</v>
      </c>
      <c r="F5" s="4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 t="n">
        <v>24</v>
      </c>
      <c r="D6" s="4" t="s">
        <v>10</v>
      </c>
      <c r="E6" s="6" t="n">
        <f aca="false">C6*20</f>
        <v>480</v>
      </c>
      <c r="F6" s="4" t="s">
        <v>14</v>
      </c>
    </row>
    <row r="7" customFormat="false" ht="15" hidden="false" customHeight="false" outlineLevel="0" collapsed="false">
      <c r="A7" s="4" t="s">
        <v>15</v>
      </c>
      <c r="B7" s="4" t="s">
        <v>16</v>
      </c>
      <c r="C7" s="5" t="n">
        <v>280</v>
      </c>
      <c r="D7" s="4" t="s">
        <v>10</v>
      </c>
      <c r="E7" s="6" t="n">
        <f aca="false">C7*10</f>
        <v>2800</v>
      </c>
      <c r="F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5" t="n">
        <v>96</v>
      </c>
      <c r="D8" s="4" t="s">
        <v>10</v>
      </c>
      <c r="E8" s="6" t="n">
        <f aca="false">C8*12</f>
        <v>1152</v>
      </c>
      <c r="F8" s="4" t="s">
        <v>20</v>
      </c>
    </row>
    <row r="9" customFormat="false" ht="15" hidden="false" customHeight="false" outlineLevel="0" collapsed="false">
      <c r="A9" s="4" t="s">
        <v>21</v>
      </c>
      <c r="B9" s="4" t="s">
        <v>22</v>
      </c>
      <c r="C9" s="5" t="n">
        <v>28</v>
      </c>
      <c r="D9" s="4" t="s">
        <v>10</v>
      </c>
      <c r="E9" s="6" t="n">
        <f aca="false">C9*16</f>
        <v>448</v>
      </c>
      <c r="F9" s="4" t="s">
        <v>23</v>
      </c>
    </row>
    <row r="10" customFormat="false" ht="15" hidden="false" customHeight="false" outlineLevel="0" collapsed="false">
      <c r="A10" s="4" t="s">
        <v>24</v>
      </c>
      <c r="B10" s="4" t="s">
        <v>22</v>
      </c>
      <c r="C10" s="5" t="n">
        <v>56</v>
      </c>
      <c r="D10" s="4" t="s">
        <v>10</v>
      </c>
      <c r="E10" s="6" t="n">
        <f aca="false">C10*16</f>
        <v>896</v>
      </c>
      <c r="F10" s="4" t="s">
        <v>25</v>
      </c>
    </row>
    <row r="11" customFormat="false" ht="15" hidden="false" customHeight="false" outlineLevel="0" collapsed="false">
      <c r="A11" s="7" t="s">
        <v>26</v>
      </c>
      <c r="B11" s="7"/>
      <c r="C11" s="7"/>
      <c r="D11" s="7"/>
      <c r="E11" s="8" t="n">
        <f aca="false">SUM(E5:E10)</f>
        <v>7336</v>
      </c>
    </row>
    <row r="13" customFormat="false" ht="15" hidden="false" customHeight="false" outlineLevel="0" collapsed="false">
      <c r="A13" s="3" t="s">
        <v>27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4" t="s">
        <v>28</v>
      </c>
      <c r="B14" s="4" t="s">
        <v>29</v>
      </c>
      <c r="C14" s="5" t="n">
        <v>225</v>
      </c>
      <c r="D14" s="4" t="s">
        <v>10</v>
      </c>
      <c r="E14" s="6" t="n">
        <f aca="false">C14*10</f>
        <v>2250</v>
      </c>
      <c r="F14" s="4" t="s">
        <v>30</v>
      </c>
    </row>
    <row r="15" customFormat="false" ht="15" hidden="false" customHeight="false" outlineLevel="0" collapsed="false">
      <c r="A15" s="4" t="s">
        <v>31</v>
      </c>
      <c r="B15" s="4" t="s">
        <v>32</v>
      </c>
      <c r="C15" s="5" t="n">
        <v>36</v>
      </c>
      <c r="D15" s="4" t="s">
        <v>10</v>
      </c>
      <c r="E15" s="6" t="n">
        <f aca="false">C15*12</f>
        <v>432</v>
      </c>
      <c r="F15" s="4" t="s">
        <v>33</v>
      </c>
    </row>
    <row r="16" customFormat="false" ht="15" hidden="false" customHeight="false" outlineLevel="0" collapsed="false">
      <c r="A16" s="4" t="s">
        <v>34</v>
      </c>
      <c r="B16" s="4" t="s">
        <v>35</v>
      </c>
      <c r="C16" s="5" t="n">
        <v>20</v>
      </c>
      <c r="D16" s="4" t="s">
        <v>10</v>
      </c>
      <c r="E16" s="6" t="n">
        <f aca="false">C16*16</f>
        <v>320</v>
      </c>
      <c r="F16" s="4" t="s">
        <v>36</v>
      </c>
    </row>
    <row r="17" customFormat="false" ht="15" hidden="false" customHeight="false" outlineLevel="0" collapsed="false">
      <c r="A17" s="4" t="s">
        <v>37</v>
      </c>
      <c r="B17" s="4" t="s">
        <v>35</v>
      </c>
      <c r="C17" s="5" t="n">
        <v>40</v>
      </c>
      <c r="D17" s="4" t="s">
        <v>10</v>
      </c>
      <c r="E17" s="6" t="n">
        <f aca="false">C17*16</f>
        <v>640</v>
      </c>
      <c r="F17" s="4" t="s">
        <v>38</v>
      </c>
    </row>
    <row r="18" customFormat="false" ht="15" hidden="false" customHeight="false" outlineLevel="0" collapsed="false">
      <c r="A18" s="7" t="s">
        <v>39</v>
      </c>
      <c r="B18" s="7"/>
      <c r="C18" s="7"/>
      <c r="D18" s="7"/>
      <c r="E18" s="8" t="n">
        <f aca="false">SUM(E14:E17)</f>
        <v>3642</v>
      </c>
    </row>
    <row r="20" customFormat="false" ht="15" hidden="false" customHeight="false" outlineLevel="0" collapsed="false">
      <c r="A20" s="3" t="s">
        <v>40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4" t="s">
        <v>41</v>
      </c>
      <c r="B21" s="4" t="s">
        <v>42</v>
      </c>
      <c r="C21" s="5" t="n">
        <v>24</v>
      </c>
      <c r="D21" s="4" t="s">
        <v>10</v>
      </c>
      <c r="E21" s="6" t="n">
        <f aca="false">C21*10</f>
        <v>240</v>
      </c>
      <c r="F21" s="4" t="s">
        <v>43</v>
      </c>
    </row>
    <row r="22" customFormat="false" ht="15" hidden="false" customHeight="false" outlineLevel="0" collapsed="false">
      <c r="A22" s="7" t="s">
        <v>44</v>
      </c>
      <c r="B22" s="7"/>
      <c r="C22" s="7"/>
      <c r="D22" s="7"/>
      <c r="E22" s="8" t="n">
        <f aca="false">SUM(E21:E21)</f>
        <v>240</v>
      </c>
    </row>
    <row r="24" customFormat="false" ht="15" hidden="false" customHeight="false" outlineLevel="0" collapsed="false">
      <c r="A24" s="3" t="s">
        <v>45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4" t="s">
        <v>46</v>
      </c>
      <c r="B25" s="4" t="s">
        <v>47</v>
      </c>
      <c r="C25" s="5" t="n">
        <v>40</v>
      </c>
      <c r="D25" s="4" t="s">
        <v>10</v>
      </c>
      <c r="E25" s="6" t="n">
        <f aca="false">C25*4</f>
        <v>160</v>
      </c>
      <c r="F25" s="4" t="s">
        <v>48</v>
      </c>
    </row>
    <row r="26" customFormat="false" ht="15" hidden="false" customHeight="false" outlineLevel="0" collapsed="false">
      <c r="A26" s="4" t="s">
        <v>49</v>
      </c>
      <c r="B26" s="4" t="s">
        <v>50</v>
      </c>
      <c r="C26" s="5" t="n">
        <v>14</v>
      </c>
      <c r="D26" s="4" t="s">
        <v>10</v>
      </c>
      <c r="E26" s="6" t="n">
        <f aca="false">C26*8</f>
        <v>112</v>
      </c>
      <c r="F26" s="4" t="s">
        <v>51</v>
      </c>
    </row>
    <row r="27" customFormat="false" ht="15" hidden="false" customHeight="false" outlineLevel="0" collapsed="false">
      <c r="A27" s="4" t="s">
        <v>52</v>
      </c>
      <c r="B27" s="4" t="s">
        <v>53</v>
      </c>
      <c r="C27" s="5" t="n">
        <v>8</v>
      </c>
      <c r="D27" s="4" t="s">
        <v>10</v>
      </c>
      <c r="E27" s="6" t="n">
        <f aca="false">C27*20</f>
        <v>160</v>
      </c>
      <c r="F27" s="4" t="s">
        <v>54</v>
      </c>
    </row>
    <row r="28" customFormat="false" ht="15" hidden="false" customHeight="false" outlineLevel="0" collapsed="false">
      <c r="A28" s="4" t="s">
        <v>55</v>
      </c>
      <c r="B28" s="4" t="s">
        <v>56</v>
      </c>
      <c r="C28" s="5" t="n">
        <v>32</v>
      </c>
      <c r="D28" s="4" t="s">
        <v>10</v>
      </c>
      <c r="E28" s="6" t="n">
        <f aca="false">C28*8</f>
        <v>256</v>
      </c>
      <c r="F28" s="4" t="s">
        <v>57</v>
      </c>
    </row>
    <row r="29" customFormat="false" ht="15" hidden="false" customHeight="false" outlineLevel="0" collapsed="false">
      <c r="A29" s="7" t="s">
        <v>58</v>
      </c>
      <c r="B29" s="7"/>
      <c r="C29" s="7"/>
      <c r="D29" s="7"/>
      <c r="E29" s="8" t="n">
        <f aca="false">SUM(E25:E28)</f>
        <v>688</v>
      </c>
    </row>
    <row r="31" customFormat="false" ht="15" hidden="false" customHeight="false" outlineLevel="0" collapsed="false">
      <c r="A31" s="3" t="s">
        <v>59</v>
      </c>
      <c r="B31" s="3"/>
      <c r="C31" s="3"/>
      <c r="D31" s="3"/>
      <c r="E31" s="3"/>
      <c r="F31" s="3"/>
    </row>
    <row r="32" customFormat="false" ht="15" hidden="false" customHeight="false" outlineLevel="0" collapsed="false">
      <c r="A32" s="4" t="s">
        <v>60</v>
      </c>
      <c r="B32" s="4" t="s">
        <v>53</v>
      </c>
      <c r="C32" s="5" t="n">
        <v>6</v>
      </c>
      <c r="D32" s="4" t="s">
        <v>10</v>
      </c>
      <c r="E32" s="6" t="n">
        <f aca="false">C32*24</f>
        <v>144</v>
      </c>
      <c r="F32" s="4" t="s">
        <v>61</v>
      </c>
    </row>
    <row r="33" customFormat="false" ht="15" hidden="false" customHeight="false" outlineLevel="0" collapsed="false">
      <c r="A33" s="4" t="s">
        <v>62</v>
      </c>
      <c r="B33" s="4" t="s">
        <v>53</v>
      </c>
      <c r="C33" s="5" t="n">
        <v>8</v>
      </c>
      <c r="D33" s="4" t="s">
        <v>10</v>
      </c>
      <c r="E33" s="6" t="n">
        <f aca="false">C33*20</f>
        <v>160</v>
      </c>
      <c r="F33" s="4" t="s">
        <v>63</v>
      </c>
    </row>
    <row r="34" customFormat="false" ht="15" hidden="false" customHeight="false" outlineLevel="0" collapsed="false">
      <c r="A34" s="4" t="s">
        <v>64</v>
      </c>
      <c r="B34" s="4" t="s">
        <v>65</v>
      </c>
      <c r="C34" s="5" t="n">
        <v>8</v>
      </c>
      <c r="D34" s="4" t="s">
        <v>10</v>
      </c>
      <c r="E34" s="6" t="n">
        <f aca="false">C34*16</f>
        <v>128</v>
      </c>
      <c r="F34" s="4" t="s">
        <v>66</v>
      </c>
    </row>
    <row r="35" customFormat="false" ht="15" hidden="false" customHeight="false" outlineLevel="0" collapsed="false">
      <c r="A35" s="4" t="s">
        <v>67</v>
      </c>
      <c r="B35" s="4" t="s">
        <v>56</v>
      </c>
      <c r="C35" s="5" t="n">
        <v>6</v>
      </c>
      <c r="D35" s="4" t="s">
        <v>10</v>
      </c>
      <c r="E35" s="6" t="n">
        <f aca="false">C35*12</f>
        <v>72</v>
      </c>
      <c r="F35" s="4" t="s">
        <v>68</v>
      </c>
    </row>
    <row r="36" customFormat="false" ht="15" hidden="false" customHeight="false" outlineLevel="0" collapsed="false">
      <c r="A36" s="4" t="s">
        <v>69</v>
      </c>
      <c r="B36" s="4" t="s">
        <v>70</v>
      </c>
      <c r="C36" s="5" t="n">
        <v>28</v>
      </c>
      <c r="D36" s="4" t="s">
        <v>10</v>
      </c>
      <c r="E36" s="6" t="n">
        <f aca="false">C36*16</f>
        <v>448</v>
      </c>
      <c r="F36" s="4" t="s">
        <v>71</v>
      </c>
    </row>
    <row r="37" customFormat="false" ht="15" hidden="false" customHeight="false" outlineLevel="0" collapsed="false">
      <c r="A37" s="7" t="s">
        <v>72</v>
      </c>
      <c r="B37" s="7"/>
      <c r="C37" s="7"/>
      <c r="D37" s="7"/>
      <c r="E37" s="8" t="n">
        <f aca="false">SUM(E32:E36)</f>
        <v>952</v>
      </c>
    </row>
    <row r="39" customFormat="false" ht="15" hidden="false" customHeight="false" outlineLevel="0" collapsed="false">
      <c r="A39" s="3" t="s">
        <v>73</v>
      </c>
      <c r="B39" s="3"/>
      <c r="C39" s="3"/>
      <c r="D39" s="3"/>
      <c r="E39" s="3"/>
      <c r="F39" s="3"/>
    </row>
    <row r="40" customFormat="false" ht="15" hidden="false" customHeight="false" outlineLevel="0" collapsed="false">
      <c r="A40" s="4" t="s">
        <v>74</v>
      </c>
      <c r="B40" s="4" t="s">
        <v>75</v>
      </c>
      <c r="C40" s="5" t="n">
        <v>180</v>
      </c>
      <c r="D40" s="4" t="s">
        <v>76</v>
      </c>
      <c r="E40" s="6" t="n">
        <f aca="false">C40*32</f>
        <v>5760</v>
      </c>
      <c r="F40" s="4" t="s">
        <v>77</v>
      </c>
    </row>
    <row r="41" customFormat="false" ht="15" hidden="false" customHeight="false" outlineLevel="0" collapsed="false">
      <c r="A41" s="4" t="s">
        <v>78</v>
      </c>
      <c r="B41" s="4" t="s">
        <v>75</v>
      </c>
      <c r="C41" s="5" t="n">
        <v>45</v>
      </c>
      <c r="D41" s="4" t="s">
        <v>76</v>
      </c>
      <c r="E41" s="6" t="n">
        <f aca="false">C41*32</f>
        <v>1440</v>
      </c>
      <c r="F41" s="4" t="s">
        <v>79</v>
      </c>
    </row>
    <row r="42" customFormat="false" ht="15" hidden="false" customHeight="false" outlineLevel="0" collapsed="false">
      <c r="A42" s="7" t="s">
        <v>80</v>
      </c>
      <c r="B42" s="7"/>
      <c r="C42" s="7"/>
      <c r="D42" s="7"/>
      <c r="E42" s="8" t="n">
        <f aca="false">SUM(E40:E41)</f>
        <v>7200</v>
      </c>
    </row>
    <row r="44" customFormat="false" ht="15" hidden="false" customHeight="false" outlineLevel="0" collapsed="false">
      <c r="A44" s="3" t="s">
        <v>81</v>
      </c>
      <c r="B44" s="3"/>
      <c r="C44" s="3"/>
      <c r="D44" s="3"/>
      <c r="E44" s="3"/>
      <c r="F44" s="3"/>
    </row>
    <row r="45" customFormat="false" ht="15" hidden="false" customHeight="false" outlineLevel="0" collapsed="false">
      <c r="A45" s="4" t="s">
        <v>82</v>
      </c>
      <c r="B45" s="4" t="s">
        <v>35</v>
      </c>
      <c r="C45" s="5" t="n">
        <v>40</v>
      </c>
      <c r="D45" s="4" t="s">
        <v>10</v>
      </c>
      <c r="E45" s="6" t="n">
        <f aca="false">C45*16</f>
        <v>640</v>
      </c>
      <c r="F45" s="4" t="s">
        <v>83</v>
      </c>
    </row>
    <row r="46" customFormat="false" ht="15" hidden="false" customHeight="false" outlineLevel="0" collapsed="false">
      <c r="A46" s="4" t="s">
        <v>84</v>
      </c>
      <c r="B46" s="4" t="s">
        <v>22</v>
      </c>
      <c r="C46" s="5" t="n">
        <v>30</v>
      </c>
      <c r="D46" s="4" t="s">
        <v>10</v>
      </c>
      <c r="E46" s="6" t="n">
        <f aca="false">C46*16</f>
        <v>480</v>
      </c>
      <c r="F46" s="4" t="s">
        <v>83</v>
      </c>
    </row>
    <row r="47" customFormat="false" ht="15" hidden="false" customHeight="false" outlineLevel="0" collapsed="false">
      <c r="A47" s="4" t="s">
        <v>85</v>
      </c>
      <c r="B47" s="4" t="s">
        <v>35</v>
      </c>
      <c r="C47" s="5" t="n">
        <v>25</v>
      </c>
      <c r="D47" s="4" t="s">
        <v>10</v>
      </c>
      <c r="E47" s="6" t="n">
        <f aca="false">C47*16</f>
        <v>400</v>
      </c>
      <c r="F47" s="4" t="s">
        <v>86</v>
      </c>
    </row>
    <row r="48" customFormat="false" ht="15" hidden="false" customHeight="false" outlineLevel="0" collapsed="false">
      <c r="A48" s="4" t="s">
        <v>87</v>
      </c>
      <c r="B48" s="4" t="s">
        <v>16</v>
      </c>
      <c r="C48" s="5" t="n">
        <v>60</v>
      </c>
      <c r="D48" s="4" t="s">
        <v>10</v>
      </c>
      <c r="E48" s="6" t="n">
        <f aca="false">C48*10</f>
        <v>600</v>
      </c>
      <c r="F48" s="4" t="s">
        <v>88</v>
      </c>
    </row>
    <row r="49" customFormat="false" ht="15" hidden="false" customHeight="false" outlineLevel="0" collapsed="false">
      <c r="A49" s="4" t="s">
        <v>89</v>
      </c>
      <c r="B49" s="4" t="s">
        <v>22</v>
      </c>
      <c r="C49" s="5" t="n">
        <v>20</v>
      </c>
      <c r="D49" s="4" t="s">
        <v>10</v>
      </c>
      <c r="E49" s="6" t="n">
        <f aca="false">C49*16</f>
        <v>320</v>
      </c>
      <c r="F49" s="4" t="s">
        <v>90</v>
      </c>
    </row>
    <row r="50" customFormat="false" ht="15" hidden="false" customHeight="false" outlineLevel="0" collapsed="false">
      <c r="A50" s="7" t="s">
        <v>91</v>
      </c>
      <c r="B50" s="7"/>
      <c r="C50" s="7"/>
      <c r="D50" s="7"/>
      <c r="E50" s="8" t="n">
        <f aca="false">SUM(E45:E49)</f>
        <v>2440</v>
      </c>
    </row>
    <row r="52" customFormat="false" ht="15" hidden="false" customHeight="false" outlineLevel="0" collapsed="false">
      <c r="A52" s="3" t="s">
        <v>92</v>
      </c>
      <c r="B52" s="3"/>
      <c r="C52" s="3"/>
      <c r="D52" s="3"/>
      <c r="E52" s="3"/>
      <c r="F52" s="3"/>
    </row>
    <row r="53" customFormat="false" ht="15" hidden="false" customHeight="false" outlineLevel="0" collapsed="false">
      <c r="A53" s="4" t="s">
        <v>93</v>
      </c>
      <c r="B53" s="4" t="s">
        <v>75</v>
      </c>
      <c r="C53" s="5" t="n">
        <v>140</v>
      </c>
      <c r="D53" s="4" t="s">
        <v>76</v>
      </c>
      <c r="E53" s="6" t="n">
        <f aca="false">C53*32</f>
        <v>4480</v>
      </c>
      <c r="F53" s="4" t="s">
        <v>94</v>
      </c>
    </row>
    <row r="54" customFormat="false" ht="15" hidden="false" customHeight="false" outlineLevel="0" collapsed="false">
      <c r="A54" s="7" t="s">
        <v>95</v>
      </c>
      <c r="B54" s="7"/>
      <c r="C54" s="7"/>
      <c r="D54" s="7"/>
      <c r="E54" s="8" t="n">
        <f aca="false">SUM(E53:E53)</f>
        <v>4480</v>
      </c>
    </row>
    <row r="56" customFormat="false" ht="15" hidden="false" customHeight="false" outlineLevel="0" collapsed="false">
      <c r="A56" s="3" t="s">
        <v>96</v>
      </c>
      <c r="B56" s="3"/>
      <c r="C56" s="3"/>
      <c r="D56" s="3"/>
      <c r="E56" s="3"/>
      <c r="F56" s="3"/>
    </row>
    <row r="57" customFormat="false" ht="15" hidden="false" customHeight="false" outlineLevel="0" collapsed="false">
      <c r="A57" s="4" t="s">
        <v>97</v>
      </c>
      <c r="B57" s="4" t="s">
        <v>75</v>
      </c>
      <c r="C57" s="5" t="n">
        <v>285</v>
      </c>
      <c r="D57" s="4" t="s">
        <v>76</v>
      </c>
      <c r="E57" s="6" t="n">
        <f aca="false">C57*32</f>
        <v>9120</v>
      </c>
      <c r="F57" s="4" t="s">
        <v>98</v>
      </c>
    </row>
    <row r="58" customFormat="false" ht="15" hidden="false" customHeight="false" outlineLevel="0" collapsed="false">
      <c r="A58" s="4" t="s">
        <v>99</v>
      </c>
      <c r="B58" s="4" t="s">
        <v>100</v>
      </c>
      <c r="C58" s="5" t="n">
        <v>570</v>
      </c>
      <c r="D58" s="4" t="s">
        <v>10</v>
      </c>
      <c r="E58" s="6" t="n">
        <f aca="false">C58*16</f>
        <v>9120</v>
      </c>
      <c r="F58" s="4" t="s">
        <v>101</v>
      </c>
    </row>
    <row r="59" customFormat="false" ht="15" hidden="false" customHeight="false" outlineLevel="0" collapsed="false">
      <c r="A59" s="7" t="s">
        <v>102</v>
      </c>
      <c r="B59" s="7"/>
      <c r="C59" s="7"/>
      <c r="D59" s="7"/>
      <c r="E59" s="8" t="n">
        <f aca="false">SUM(E57:E58)</f>
        <v>18240</v>
      </c>
    </row>
  </sheetData>
  <mergeCells count="19">
    <mergeCell ref="A1:F1"/>
    <mergeCell ref="A4:F4"/>
    <mergeCell ref="A11:D11"/>
    <mergeCell ref="A13:F13"/>
    <mergeCell ref="A18:D18"/>
    <mergeCell ref="A20:F20"/>
    <mergeCell ref="A22:D22"/>
    <mergeCell ref="A24:F24"/>
    <mergeCell ref="A29:D29"/>
    <mergeCell ref="A31:F31"/>
    <mergeCell ref="A37:D37"/>
    <mergeCell ref="A39:F39"/>
    <mergeCell ref="A42:D42"/>
    <mergeCell ref="A44:F44"/>
    <mergeCell ref="A50:D50"/>
    <mergeCell ref="A52:F52"/>
    <mergeCell ref="A54:D54"/>
    <mergeCell ref="A56:F56"/>
    <mergeCell ref="A59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103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0" t="s">
        <v>104</v>
      </c>
    </row>
    <row r="3" customFormat="false" ht="15" hidden="false" customHeight="false" outlineLevel="0" collapsed="false">
      <c r="A3" s="0" t="s">
        <v>105</v>
      </c>
    </row>
    <row r="5" customFormat="false" ht="15" hidden="false" customHeight="false" outlineLevel="0" collapsed="false">
      <c r="A5" s="9" t="s">
        <v>106</v>
      </c>
      <c r="B5" s="9" t="s">
        <v>107</v>
      </c>
      <c r="C5" s="9" t="s">
        <v>108</v>
      </c>
      <c r="D5" s="9" t="s">
        <v>109</v>
      </c>
      <c r="E5" s="9" t="s">
        <v>110</v>
      </c>
      <c r="F5" s="9" t="s">
        <v>111</v>
      </c>
    </row>
    <row r="6" customFormat="false" ht="15" hidden="false" customHeight="false" outlineLevel="0" collapsed="false">
      <c r="A6" s="4" t="s">
        <v>112</v>
      </c>
      <c r="B6" s="4" t="n">
        <f aca="false">'Main Level'!E6</f>
        <v>480</v>
      </c>
      <c r="C6" s="4" t="n">
        <f aca="false">'Upper Level'!E6</f>
        <v>192</v>
      </c>
      <c r="D6" s="4" t="n">
        <v>0</v>
      </c>
      <c r="E6" s="4" t="n">
        <f aca="false">ADU!E6</f>
        <v>128</v>
      </c>
      <c r="F6" s="10" t="n">
        <f aca="false">SUM(B6:E6)</f>
        <v>800</v>
      </c>
    </row>
    <row r="7" customFormat="false" ht="15" hidden="false" customHeight="false" outlineLevel="0" collapsed="false">
      <c r="A7" s="4" t="s">
        <v>113</v>
      </c>
      <c r="B7" s="4" t="n">
        <f aca="false">'Main Level'!E14</f>
        <v>2250</v>
      </c>
      <c r="C7" s="4" t="n">
        <f aca="false">'Upper Level'!E13</f>
        <v>256</v>
      </c>
      <c r="D7" s="4" t="n">
        <f aca="false">'Basement Level'!E6</f>
        <v>80</v>
      </c>
      <c r="E7" s="4" t="n">
        <f aca="false">ADU!E13</f>
        <v>128</v>
      </c>
      <c r="F7" s="10" t="n">
        <f aca="false">SUM(B7:E7)</f>
        <v>2714</v>
      </c>
    </row>
    <row r="8" customFormat="false" ht="15" hidden="false" customHeight="false" outlineLevel="0" collapsed="false">
      <c r="A8" s="4" t="s">
        <v>114</v>
      </c>
      <c r="B8" s="4" t="n">
        <f aca="false">'Main Level'!E9</f>
        <v>448</v>
      </c>
      <c r="C8" s="4" t="n">
        <f aca="false">'Upper Level'!E9</f>
        <v>0</v>
      </c>
      <c r="D8" s="4" t="n">
        <f aca="false">'Basement Level'!E8</f>
        <v>690</v>
      </c>
      <c r="E8" s="4" t="n">
        <f aca="false">ADU!E9</f>
        <v>0</v>
      </c>
      <c r="F8" s="10" t="n">
        <f aca="false">SUM(B8:E8)</f>
        <v>1138</v>
      </c>
    </row>
    <row r="9" customFormat="false" ht="15" hidden="false" customHeight="false" outlineLevel="0" collapsed="false">
      <c r="A9" s="4" t="s">
        <v>115</v>
      </c>
      <c r="B9" s="4" t="n">
        <f aca="false">'Main Level'!E27</f>
        <v>160</v>
      </c>
      <c r="C9" s="4" t="n">
        <f aca="false">'Upper Level'!E22</f>
        <v>1760</v>
      </c>
      <c r="D9" s="4" t="n">
        <f aca="false">'Basement Level'!E14</f>
        <v>0</v>
      </c>
      <c r="E9" s="4" t="n">
        <f aca="false">ADU!E22</f>
        <v>1216</v>
      </c>
      <c r="F9" s="10" t="n">
        <f aca="false">SUM(B9:E9)</f>
        <v>3136</v>
      </c>
    </row>
    <row r="10" customFormat="false" ht="15" hidden="false" customHeight="false" outlineLevel="0" collapsed="false">
      <c r="A10" s="4" t="s">
        <v>116</v>
      </c>
      <c r="B10" s="4" t="n">
        <f aca="false">'Main Level'!E35</f>
        <v>72</v>
      </c>
      <c r="C10" s="4" t="n">
        <v>0</v>
      </c>
      <c r="D10" s="4" t="n">
        <v>0</v>
      </c>
      <c r="E10" s="4" t="n">
        <v>0</v>
      </c>
      <c r="F10" s="10" t="n">
        <f aca="false">SUM(B10:E10)</f>
        <v>72</v>
      </c>
    </row>
    <row r="11" customFormat="false" ht="15" hidden="false" customHeight="false" outlineLevel="0" collapsed="false">
      <c r="A11" s="4" t="s">
        <v>117</v>
      </c>
      <c r="B11" s="4" t="n">
        <f aca="false">'Main Level'!E41</f>
        <v>1440</v>
      </c>
      <c r="C11" s="4" t="n">
        <f aca="false">'Upper Level'!E27</f>
        <v>192</v>
      </c>
      <c r="D11" s="4" t="n">
        <v>0</v>
      </c>
      <c r="E11" s="4" t="n">
        <f aca="false">ADU!E27</f>
        <v>160</v>
      </c>
      <c r="F11" s="10" t="n">
        <f aca="false">SUM(B11:E11)</f>
        <v>1792</v>
      </c>
    </row>
    <row r="12" customFormat="false" ht="15" hidden="false" customHeight="false" outlineLevel="0" collapsed="false">
      <c r="A12" s="4" t="s">
        <v>118</v>
      </c>
      <c r="B12" s="4" t="n">
        <f aca="false">'Main Level'!E48</f>
        <v>600</v>
      </c>
      <c r="C12" s="4" t="n">
        <f aca="false">'Upper Level'!E35</f>
        <v>0</v>
      </c>
      <c r="D12" s="4" t="n">
        <v>0</v>
      </c>
      <c r="E12" s="4" t="n">
        <v>0</v>
      </c>
      <c r="F12" s="10" t="n">
        <f aca="false">SUM(B12:E12)</f>
        <v>600</v>
      </c>
    </row>
    <row r="13" customFormat="false" ht="15" hidden="false" customHeight="false" outlineLevel="0" collapsed="false">
      <c r="A13" s="4" t="s">
        <v>119</v>
      </c>
      <c r="B13" s="4" t="n">
        <f aca="false">'Main Level'!E55</f>
        <v>0</v>
      </c>
      <c r="C13" s="4" t="n">
        <v>0</v>
      </c>
      <c r="D13" s="4" t="n">
        <v>0</v>
      </c>
      <c r="E13" s="4" t="n">
        <v>0</v>
      </c>
      <c r="F13" s="10" t="n">
        <f aca="false">SUM(B13:E13)</f>
        <v>0</v>
      </c>
    </row>
    <row r="15" customFormat="false" ht="15" hidden="false" customHeight="false" outlineLevel="0" collapsed="false">
      <c r="A15" s="11" t="s">
        <v>120</v>
      </c>
    </row>
    <row r="16" customFormat="false" ht="15" hidden="false" customHeight="false" outlineLevel="0" collapsed="false">
      <c r="A16" s="0" t="s">
        <v>121</v>
      </c>
    </row>
    <row r="17" customFormat="false" ht="15" hidden="false" customHeight="false" outlineLevel="0" collapsed="false">
      <c r="A17" s="0" t="s">
        <v>122</v>
      </c>
    </row>
    <row r="18" customFormat="false" ht="15" hidden="false" customHeight="false" outlineLevel="0" collapsed="false">
      <c r="A18" s="0" t="s">
        <v>123</v>
      </c>
    </row>
    <row r="19" customFormat="false" ht="15" hidden="false" customHeight="false" outlineLevel="0" collapsed="false">
      <c r="A19" s="0" t="s">
        <v>124</v>
      </c>
    </row>
    <row r="20" customFormat="false" ht="15" hidden="false" customHeight="false" outlineLevel="0" collapsed="false">
      <c r="A20" s="0" t="s">
        <v>125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126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127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128</v>
      </c>
      <c r="B5" s="4" t="s">
        <v>16</v>
      </c>
      <c r="C5" s="5" t="n">
        <v>130</v>
      </c>
      <c r="D5" s="4" t="s">
        <v>10</v>
      </c>
      <c r="E5" s="6" t="n">
        <f aca="false">C5*10</f>
        <v>1300</v>
      </c>
      <c r="F5" s="4" t="s">
        <v>129</v>
      </c>
    </row>
    <row r="6" customFormat="false" ht="15" hidden="false" customHeight="false" outlineLevel="0" collapsed="false">
      <c r="A6" s="4" t="s">
        <v>21</v>
      </c>
      <c r="B6" s="4" t="s">
        <v>22</v>
      </c>
      <c r="C6" s="5" t="n">
        <v>12</v>
      </c>
      <c r="D6" s="4" t="s">
        <v>10</v>
      </c>
      <c r="E6" s="6" t="n">
        <f aca="false">C6*16</f>
        <v>192</v>
      </c>
      <c r="F6" s="4" t="s">
        <v>130</v>
      </c>
    </row>
    <row r="7" customFormat="false" ht="15" hidden="false" customHeight="false" outlineLevel="0" collapsed="false">
      <c r="A7" s="4" t="s">
        <v>24</v>
      </c>
      <c r="B7" s="4" t="s">
        <v>22</v>
      </c>
      <c r="C7" s="5" t="n">
        <v>24</v>
      </c>
      <c r="D7" s="4" t="s">
        <v>10</v>
      </c>
      <c r="E7" s="6" t="n">
        <f aca="false">C7*16</f>
        <v>384</v>
      </c>
      <c r="F7" s="4" t="s">
        <v>131</v>
      </c>
    </row>
    <row r="8" customFormat="false" ht="15" hidden="false" customHeight="false" outlineLevel="0" collapsed="false">
      <c r="A8" s="7" t="s">
        <v>26</v>
      </c>
      <c r="B8" s="7"/>
      <c r="C8" s="7"/>
      <c r="D8" s="7"/>
      <c r="E8" s="8" t="n">
        <f aca="false">SUM(E5:E7)</f>
        <v>1876</v>
      </c>
    </row>
    <row r="10" customFormat="false" ht="15" hidden="false" customHeight="false" outlineLevel="0" collapsed="false">
      <c r="A10" s="3" t="s">
        <v>27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4" t="s">
        <v>28</v>
      </c>
      <c r="B11" s="4" t="s">
        <v>29</v>
      </c>
      <c r="C11" s="5" t="n">
        <v>75</v>
      </c>
      <c r="D11" s="4" t="s">
        <v>10</v>
      </c>
      <c r="E11" s="6" t="n">
        <f aca="false">C11*10</f>
        <v>750</v>
      </c>
      <c r="F11" s="4" t="s">
        <v>132</v>
      </c>
    </row>
    <row r="12" customFormat="false" ht="15" hidden="false" customHeight="false" outlineLevel="0" collapsed="false">
      <c r="A12" s="4" t="s">
        <v>34</v>
      </c>
      <c r="B12" s="4" t="s">
        <v>35</v>
      </c>
      <c r="C12" s="5" t="n">
        <v>8</v>
      </c>
      <c r="D12" s="4" t="s">
        <v>10</v>
      </c>
      <c r="E12" s="6" t="n">
        <f aca="false">C12*16</f>
        <v>128</v>
      </c>
      <c r="F12" s="4" t="s">
        <v>133</v>
      </c>
    </row>
    <row r="13" customFormat="false" ht="15" hidden="false" customHeight="false" outlineLevel="0" collapsed="false">
      <c r="A13" s="4" t="s">
        <v>37</v>
      </c>
      <c r="B13" s="4" t="s">
        <v>35</v>
      </c>
      <c r="C13" s="5" t="n">
        <v>16</v>
      </c>
      <c r="D13" s="4" t="s">
        <v>10</v>
      </c>
      <c r="E13" s="6" t="n">
        <f aca="false">C13*16</f>
        <v>256</v>
      </c>
      <c r="F13" s="4" t="s">
        <v>134</v>
      </c>
    </row>
    <row r="14" customFormat="false" ht="15" hidden="false" customHeight="false" outlineLevel="0" collapsed="false">
      <c r="A14" s="7" t="s">
        <v>39</v>
      </c>
      <c r="B14" s="7"/>
      <c r="C14" s="7"/>
      <c r="D14" s="7"/>
      <c r="E14" s="8" t="n">
        <f aca="false">SUM(E11:E13)</f>
        <v>1134</v>
      </c>
    </row>
    <row r="16" customFormat="false" ht="15" hidden="false" customHeight="false" outlineLevel="0" collapsed="false">
      <c r="A16" s="3" t="s">
        <v>135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4" t="s">
        <v>136</v>
      </c>
      <c r="B17" s="4" t="s">
        <v>47</v>
      </c>
      <c r="C17" s="5" t="n">
        <v>12</v>
      </c>
      <c r="D17" s="4" t="s">
        <v>10</v>
      </c>
      <c r="E17" s="6" t="n">
        <f aca="false">C17*4</f>
        <v>48</v>
      </c>
      <c r="F17" s="4" t="s">
        <v>137</v>
      </c>
    </row>
    <row r="18" customFormat="false" ht="15" hidden="false" customHeight="false" outlineLevel="0" collapsed="false">
      <c r="A18" s="4" t="s">
        <v>46</v>
      </c>
      <c r="B18" s="4" t="s">
        <v>47</v>
      </c>
      <c r="C18" s="5" t="n">
        <v>6</v>
      </c>
      <c r="D18" s="4" t="s">
        <v>10</v>
      </c>
      <c r="E18" s="6" t="n">
        <f aca="false">C18*4</f>
        <v>24</v>
      </c>
      <c r="F18" s="4" t="s">
        <v>138</v>
      </c>
    </row>
    <row r="19" customFormat="false" ht="15" hidden="false" customHeight="false" outlineLevel="0" collapsed="false">
      <c r="A19" s="7" t="s">
        <v>58</v>
      </c>
      <c r="B19" s="7"/>
      <c r="C19" s="7"/>
      <c r="D19" s="7"/>
      <c r="E19" s="8" t="n">
        <f aca="false">SUM(E17:E18)</f>
        <v>72</v>
      </c>
    </row>
    <row r="21" customFormat="false" ht="15" hidden="false" customHeight="false" outlineLevel="0" collapsed="false">
      <c r="A21" s="3" t="s">
        <v>73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4" t="s">
        <v>74</v>
      </c>
      <c r="B22" s="4" t="s">
        <v>75</v>
      </c>
      <c r="C22" s="5" t="n">
        <v>55</v>
      </c>
      <c r="D22" s="4" t="s">
        <v>76</v>
      </c>
      <c r="E22" s="6" t="n">
        <f aca="false">C22*32</f>
        <v>1760</v>
      </c>
      <c r="F22" s="4" t="s">
        <v>139</v>
      </c>
    </row>
    <row r="23" customFormat="false" ht="15" hidden="false" customHeight="false" outlineLevel="0" collapsed="false">
      <c r="A23" s="7" t="s">
        <v>80</v>
      </c>
      <c r="B23" s="7"/>
      <c r="C23" s="7"/>
      <c r="D23" s="7"/>
      <c r="E23" s="8" t="n">
        <f aca="false">SUM(E22:E22)</f>
        <v>1760</v>
      </c>
    </row>
    <row r="25" customFormat="false" ht="15" hidden="false" customHeight="false" outlineLevel="0" collapsed="false">
      <c r="A25" s="3" t="s">
        <v>81</v>
      </c>
      <c r="B25" s="3"/>
      <c r="C25" s="3"/>
      <c r="D25" s="3"/>
      <c r="E25" s="3"/>
      <c r="F25" s="3"/>
    </row>
    <row r="26" customFormat="false" ht="15" hidden="false" customHeight="false" outlineLevel="0" collapsed="false">
      <c r="A26" s="4" t="s">
        <v>82</v>
      </c>
      <c r="B26" s="4" t="s">
        <v>35</v>
      </c>
      <c r="C26" s="5" t="n">
        <v>10</v>
      </c>
      <c r="D26" s="4" t="s">
        <v>10</v>
      </c>
      <c r="E26" s="6" t="n">
        <f aca="false">C26*16</f>
        <v>160</v>
      </c>
      <c r="F26" s="4" t="s">
        <v>140</v>
      </c>
    </row>
    <row r="27" customFormat="false" ht="15" hidden="false" customHeight="false" outlineLevel="0" collapsed="false">
      <c r="A27" s="4" t="s">
        <v>84</v>
      </c>
      <c r="B27" s="4" t="s">
        <v>22</v>
      </c>
      <c r="C27" s="5" t="n">
        <v>12</v>
      </c>
      <c r="D27" s="4" t="s">
        <v>10</v>
      </c>
      <c r="E27" s="6" t="n">
        <f aca="false">C27*16</f>
        <v>192</v>
      </c>
      <c r="F27" s="4" t="s">
        <v>140</v>
      </c>
    </row>
    <row r="28" customFormat="false" ht="15" hidden="false" customHeight="false" outlineLevel="0" collapsed="false">
      <c r="A28" s="4" t="s">
        <v>87</v>
      </c>
      <c r="B28" s="4" t="s">
        <v>16</v>
      </c>
      <c r="C28" s="5" t="n">
        <v>20</v>
      </c>
      <c r="D28" s="4" t="s">
        <v>10</v>
      </c>
      <c r="E28" s="6" t="n">
        <f aca="false">C28*10</f>
        <v>200</v>
      </c>
      <c r="F28" s="4" t="s">
        <v>141</v>
      </c>
    </row>
    <row r="29" customFormat="false" ht="15" hidden="false" customHeight="false" outlineLevel="0" collapsed="false">
      <c r="A29" s="4" t="s">
        <v>89</v>
      </c>
      <c r="B29" s="4" t="s">
        <v>22</v>
      </c>
      <c r="C29" s="5" t="n">
        <v>8</v>
      </c>
      <c r="D29" s="4" t="s">
        <v>10</v>
      </c>
      <c r="E29" s="6" t="n">
        <f aca="false">C29*16</f>
        <v>128</v>
      </c>
      <c r="F29" s="4" t="s">
        <v>142</v>
      </c>
    </row>
    <row r="30" customFormat="false" ht="15" hidden="false" customHeight="false" outlineLevel="0" collapsed="false">
      <c r="A30" s="7" t="s">
        <v>91</v>
      </c>
      <c r="B30" s="7"/>
      <c r="C30" s="7"/>
      <c r="D30" s="7"/>
      <c r="E30" s="8" t="n">
        <f aca="false">SUM(E26:E29)</f>
        <v>680</v>
      </c>
    </row>
    <row r="32" customFormat="false" ht="15" hidden="false" customHeight="false" outlineLevel="0" collapsed="false">
      <c r="A32" s="3" t="s">
        <v>92</v>
      </c>
      <c r="B32" s="3"/>
      <c r="C32" s="3"/>
      <c r="D32" s="3"/>
      <c r="E32" s="3"/>
      <c r="F32" s="3"/>
    </row>
    <row r="33" customFormat="false" ht="15" hidden="false" customHeight="false" outlineLevel="0" collapsed="false">
      <c r="A33" s="4" t="s">
        <v>93</v>
      </c>
      <c r="B33" s="4" t="s">
        <v>75</v>
      </c>
      <c r="C33" s="5" t="n">
        <v>48</v>
      </c>
      <c r="D33" s="4" t="s">
        <v>76</v>
      </c>
      <c r="E33" s="6" t="n">
        <f aca="false">C33*32</f>
        <v>1536</v>
      </c>
      <c r="F33" s="4" t="s">
        <v>143</v>
      </c>
    </row>
    <row r="34" customFormat="false" ht="15" hidden="false" customHeight="false" outlineLevel="0" collapsed="false">
      <c r="A34" s="7" t="s">
        <v>95</v>
      </c>
      <c r="B34" s="7"/>
      <c r="C34" s="7"/>
      <c r="D34" s="7"/>
      <c r="E34" s="8" t="n">
        <f aca="false">SUM(E33:E33)</f>
        <v>1536</v>
      </c>
    </row>
  </sheetData>
  <mergeCells count="13">
    <mergeCell ref="A1:F1"/>
    <mergeCell ref="A4:F4"/>
    <mergeCell ref="A8:D8"/>
    <mergeCell ref="A10:F10"/>
    <mergeCell ref="A14:D14"/>
    <mergeCell ref="A16:F16"/>
    <mergeCell ref="A19:D19"/>
    <mergeCell ref="A21:F21"/>
    <mergeCell ref="A23:D23"/>
    <mergeCell ref="A25:F25"/>
    <mergeCell ref="A30:D30"/>
    <mergeCell ref="A32:F32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144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145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28</v>
      </c>
      <c r="B5" s="4" t="s">
        <v>29</v>
      </c>
      <c r="C5" s="5" t="n">
        <v>45</v>
      </c>
      <c r="D5" s="4" t="s">
        <v>10</v>
      </c>
      <c r="E5" s="6" t="n">
        <f aca="false">C5*10</f>
        <v>450</v>
      </c>
      <c r="F5" s="4" t="s">
        <v>146</v>
      </c>
    </row>
    <row r="6" customFormat="false" ht="15" hidden="false" customHeight="false" outlineLevel="0" collapsed="false">
      <c r="A6" s="4" t="s">
        <v>147</v>
      </c>
      <c r="B6" s="4" t="s">
        <v>148</v>
      </c>
      <c r="C6" s="5" t="n">
        <v>5</v>
      </c>
      <c r="D6" s="4" t="s">
        <v>10</v>
      </c>
      <c r="E6" s="6" t="n">
        <f aca="false">C6*16</f>
        <v>80</v>
      </c>
      <c r="F6" s="4" t="s">
        <v>149</v>
      </c>
    </row>
    <row r="7" customFormat="false" ht="15" hidden="false" customHeight="false" outlineLevel="0" collapsed="false">
      <c r="A7" s="4" t="s">
        <v>150</v>
      </c>
      <c r="B7" s="4" t="s">
        <v>35</v>
      </c>
      <c r="C7" s="5" t="n">
        <v>10</v>
      </c>
      <c r="D7" s="4" t="s">
        <v>10</v>
      </c>
      <c r="E7" s="6" t="n">
        <f aca="false">C7*16</f>
        <v>160</v>
      </c>
      <c r="F7" s="4" t="s">
        <v>151</v>
      </c>
    </row>
    <row r="8" customFormat="false" ht="15" hidden="false" customHeight="false" outlineLevel="0" collapsed="false">
      <c r="A8" s="7" t="s">
        <v>39</v>
      </c>
      <c r="B8" s="7"/>
      <c r="C8" s="7"/>
      <c r="D8" s="7"/>
      <c r="E8" s="8" t="n">
        <f aca="false">SUM(E5:E7)</f>
        <v>690</v>
      </c>
    </row>
    <row r="10" customFormat="false" ht="15" hidden="false" customHeight="false" outlineLevel="0" collapsed="false">
      <c r="A10" s="3" t="s">
        <v>152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4" t="s">
        <v>153</v>
      </c>
      <c r="B11" s="4" t="s">
        <v>154</v>
      </c>
      <c r="C11" s="5" t="n">
        <v>6</v>
      </c>
      <c r="D11" s="4" t="s">
        <v>10</v>
      </c>
      <c r="E11" s="6" t="n">
        <f aca="false">C11*4</f>
        <v>24</v>
      </c>
      <c r="F11" s="4" t="s">
        <v>155</v>
      </c>
    </row>
    <row r="12" customFormat="false" ht="15" hidden="false" customHeight="false" outlineLevel="0" collapsed="false">
      <c r="A12" s="4" t="s">
        <v>156</v>
      </c>
      <c r="B12" s="4" t="s">
        <v>157</v>
      </c>
      <c r="C12" s="5" t="n">
        <v>1</v>
      </c>
      <c r="D12" s="4" t="s">
        <v>10</v>
      </c>
      <c r="E12" s="6" t="n">
        <v>1</v>
      </c>
      <c r="F12" s="4" t="s">
        <v>158</v>
      </c>
    </row>
    <row r="13" customFormat="false" ht="15" hidden="false" customHeight="false" outlineLevel="0" collapsed="false">
      <c r="A13" s="7" t="s">
        <v>58</v>
      </c>
      <c r="B13" s="7"/>
      <c r="C13" s="7"/>
      <c r="D13" s="7"/>
      <c r="E13" s="8" t="n">
        <f aca="false">SUM(E11:E12)</f>
        <v>25</v>
      </c>
    </row>
    <row r="15" customFormat="false" ht="15" hidden="false" customHeight="false" outlineLevel="0" collapsed="false">
      <c r="A15" s="3" t="s">
        <v>81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4" t="s">
        <v>159</v>
      </c>
      <c r="B16" s="4" t="s">
        <v>35</v>
      </c>
      <c r="C16" s="5" t="n">
        <v>6</v>
      </c>
      <c r="D16" s="4" t="s">
        <v>10</v>
      </c>
      <c r="E16" s="6" t="n">
        <f aca="false">C16*16</f>
        <v>96</v>
      </c>
      <c r="F16" s="4" t="s">
        <v>160</v>
      </c>
    </row>
    <row r="17" customFormat="false" ht="15" hidden="false" customHeight="false" outlineLevel="0" collapsed="false">
      <c r="A17" s="4" t="s">
        <v>161</v>
      </c>
      <c r="B17" s="4" t="s">
        <v>162</v>
      </c>
      <c r="C17" s="5" t="n">
        <v>20</v>
      </c>
      <c r="D17" s="4" t="s">
        <v>10</v>
      </c>
      <c r="E17" s="6" t="n">
        <f aca="false">C17*16</f>
        <v>320</v>
      </c>
      <c r="F17" s="4" t="s">
        <v>163</v>
      </c>
    </row>
    <row r="18" customFormat="false" ht="15" hidden="false" customHeight="false" outlineLevel="0" collapsed="false">
      <c r="A18" s="7" t="s">
        <v>91</v>
      </c>
      <c r="B18" s="7"/>
      <c r="C18" s="7"/>
      <c r="D18" s="7"/>
      <c r="E18" s="8" t="n">
        <f aca="false">SUM(E16:E17)</f>
        <v>416</v>
      </c>
    </row>
  </sheetData>
  <mergeCells count="7">
    <mergeCell ref="A1:F1"/>
    <mergeCell ref="A4:F4"/>
    <mergeCell ref="A8:D8"/>
    <mergeCell ref="A10:F10"/>
    <mergeCell ref="A13:D13"/>
    <mergeCell ref="A15:F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164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127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128</v>
      </c>
      <c r="B5" s="4" t="s">
        <v>16</v>
      </c>
      <c r="C5" s="5" t="n">
        <v>90</v>
      </c>
      <c r="D5" s="4" t="s">
        <v>10</v>
      </c>
      <c r="E5" s="6" t="n">
        <f aca="false">C5*10</f>
        <v>900</v>
      </c>
      <c r="F5" s="4" t="s">
        <v>165</v>
      </c>
    </row>
    <row r="6" customFormat="false" ht="15" hidden="false" customHeight="false" outlineLevel="0" collapsed="false">
      <c r="A6" s="4" t="s">
        <v>21</v>
      </c>
      <c r="B6" s="4" t="s">
        <v>22</v>
      </c>
      <c r="C6" s="5" t="n">
        <v>8</v>
      </c>
      <c r="D6" s="4" t="s">
        <v>10</v>
      </c>
      <c r="E6" s="6" t="n">
        <f aca="false">C6*16</f>
        <v>128</v>
      </c>
      <c r="F6" s="4" t="s">
        <v>166</v>
      </c>
    </row>
    <row r="7" customFormat="false" ht="15" hidden="false" customHeight="false" outlineLevel="0" collapsed="false">
      <c r="A7" s="4" t="s">
        <v>24</v>
      </c>
      <c r="B7" s="4" t="s">
        <v>22</v>
      </c>
      <c r="C7" s="5" t="n">
        <v>16</v>
      </c>
      <c r="D7" s="4" t="s">
        <v>10</v>
      </c>
      <c r="E7" s="6" t="n">
        <f aca="false">C7*16</f>
        <v>256</v>
      </c>
      <c r="F7" s="4" t="s">
        <v>134</v>
      </c>
    </row>
    <row r="8" customFormat="false" ht="15" hidden="false" customHeight="false" outlineLevel="0" collapsed="false">
      <c r="A8" s="7" t="s">
        <v>26</v>
      </c>
      <c r="B8" s="7"/>
      <c r="C8" s="7"/>
      <c r="D8" s="7"/>
      <c r="E8" s="8" t="n">
        <f aca="false">SUM(E5:E7)</f>
        <v>1284</v>
      </c>
    </row>
    <row r="10" customFormat="false" ht="15" hidden="false" customHeight="false" outlineLevel="0" collapsed="false">
      <c r="A10" s="3" t="s">
        <v>27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4" t="s">
        <v>28</v>
      </c>
      <c r="B11" s="4" t="s">
        <v>29</v>
      </c>
      <c r="C11" s="5" t="n">
        <v>36</v>
      </c>
      <c r="D11" s="4" t="s">
        <v>10</v>
      </c>
      <c r="E11" s="6" t="n">
        <f aca="false">C11*10</f>
        <v>360</v>
      </c>
      <c r="F11" s="4" t="s">
        <v>167</v>
      </c>
    </row>
    <row r="12" customFormat="false" ht="15" hidden="false" customHeight="false" outlineLevel="0" collapsed="false">
      <c r="A12" s="4" t="s">
        <v>34</v>
      </c>
      <c r="B12" s="4" t="s">
        <v>35</v>
      </c>
      <c r="C12" s="5" t="n">
        <v>4</v>
      </c>
      <c r="D12" s="4" t="s">
        <v>10</v>
      </c>
      <c r="E12" s="6" t="n">
        <f aca="false">C12*16</f>
        <v>64</v>
      </c>
      <c r="F12" s="4" t="s">
        <v>168</v>
      </c>
    </row>
    <row r="13" customFormat="false" ht="15" hidden="false" customHeight="false" outlineLevel="0" collapsed="false">
      <c r="A13" s="4" t="s">
        <v>37</v>
      </c>
      <c r="B13" s="4" t="s">
        <v>35</v>
      </c>
      <c r="C13" s="5" t="n">
        <v>8</v>
      </c>
      <c r="D13" s="4" t="s">
        <v>10</v>
      </c>
      <c r="E13" s="6" t="n">
        <f aca="false">C13*16</f>
        <v>128</v>
      </c>
      <c r="F13" s="4" t="s">
        <v>169</v>
      </c>
    </row>
    <row r="14" customFormat="false" ht="15" hidden="false" customHeight="false" outlineLevel="0" collapsed="false">
      <c r="A14" s="7" t="s">
        <v>39</v>
      </c>
      <c r="B14" s="7"/>
      <c r="C14" s="7"/>
      <c r="D14" s="7"/>
      <c r="E14" s="8" t="n">
        <f aca="false">SUM(E11:E13)</f>
        <v>552</v>
      </c>
    </row>
    <row r="16" customFormat="false" ht="15" hidden="false" customHeight="false" outlineLevel="0" collapsed="false">
      <c r="A16" s="3" t="s">
        <v>152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4" t="s">
        <v>170</v>
      </c>
      <c r="B17" s="4" t="s">
        <v>47</v>
      </c>
      <c r="C17" s="5" t="n">
        <v>8</v>
      </c>
      <c r="D17" s="4" t="s">
        <v>10</v>
      </c>
      <c r="E17" s="6" t="n">
        <f aca="false">C17*4</f>
        <v>32</v>
      </c>
      <c r="F17" s="4" t="s">
        <v>171</v>
      </c>
    </row>
    <row r="18" customFormat="false" ht="15" hidden="false" customHeight="false" outlineLevel="0" collapsed="false">
      <c r="A18" s="4" t="s">
        <v>172</v>
      </c>
      <c r="B18" s="4" t="s">
        <v>50</v>
      </c>
      <c r="C18" s="5" t="n">
        <v>8</v>
      </c>
      <c r="D18" s="4" t="s">
        <v>10</v>
      </c>
      <c r="E18" s="6" t="n">
        <f aca="false">C18*8</f>
        <v>64</v>
      </c>
      <c r="F18" s="4" t="s">
        <v>173</v>
      </c>
    </row>
    <row r="19" customFormat="false" ht="15" hidden="false" customHeight="false" outlineLevel="0" collapsed="false">
      <c r="A19" s="7" t="s">
        <v>58</v>
      </c>
      <c r="B19" s="7"/>
      <c r="C19" s="7"/>
      <c r="D19" s="7"/>
      <c r="E19" s="8" t="n">
        <f aca="false">SUM(E17:E18)</f>
        <v>96</v>
      </c>
    </row>
    <row r="21" customFormat="false" ht="15" hidden="false" customHeight="false" outlineLevel="0" collapsed="false">
      <c r="A21" s="3" t="s">
        <v>73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4" t="s">
        <v>74</v>
      </c>
      <c r="B22" s="4" t="s">
        <v>75</v>
      </c>
      <c r="C22" s="5" t="n">
        <v>38</v>
      </c>
      <c r="D22" s="4" t="s">
        <v>76</v>
      </c>
      <c r="E22" s="6" t="n">
        <f aca="false">C22*32</f>
        <v>1216</v>
      </c>
      <c r="F22" s="4" t="s">
        <v>174</v>
      </c>
    </row>
    <row r="23" customFormat="false" ht="15" hidden="false" customHeight="false" outlineLevel="0" collapsed="false">
      <c r="A23" s="7" t="s">
        <v>80</v>
      </c>
      <c r="B23" s="7"/>
      <c r="C23" s="7"/>
      <c r="D23" s="7"/>
      <c r="E23" s="8" t="n">
        <f aca="false">SUM(E22:E22)</f>
        <v>1216</v>
      </c>
    </row>
    <row r="25" customFormat="false" ht="15" hidden="false" customHeight="false" outlineLevel="0" collapsed="false">
      <c r="A25" s="3" t="s">
        <v>81</v>
      </c>
      <c r="B25" s="3"/>
      <c r="C25" s="3"/>
      <c r="D25" s="3"/>
      <c r="E25" s="3"/>
      <c r="F25" s="3"/>
    </row>
    <row r="26" customFormat="false" ht="15" hidden="false" customHeight="false" outlineLevel="0" collapsed="false">
      <c r="A26" s="4" t="s">
        <v>84</v>
      </c>
      <c r="B26" s="4" t="s">
        <v>22</v>
      </c>
      <c r="C26" s="5" t="n">
        <v>8</v>
      </c>
      <c r="D26" s="4" t="s">
        <v>10</v>
      </c>
      <c r="E26" s="6" t="n">
        <f aca="false">C26*16</f>
        <v>128</v>
      </c>
      <c r="F26" s="4" t="s">
        <v>140</v>
      </c>
    </row>
    <row r="27" customFormat="false" ht="15" hidden="false" customHeight="false" outlineLevel="0" collapsed="false">
      <c r="A27" s="4" t="s">
        <v>87</v>
      </c>
      <c r="B27" s="4" t="s">
        <v>16</v>
      </c>
      <c r="C27" s="5" t="n">
        <v>16</v>
      </c>
      <c r="D27" s="4" t="s">
        <v>10</v>
      </c>
      <c r="E27" s="6" t="n">
        <f aca="false">C27*10</f>
        <v>160</v>
      </c>
      <c r="F27" s="4" t="s">
        <v>141</v>
      </c>
    </row>
    <row r="28" customFormat="false" ht="15" hidden="false" customHeight="false" outlineLevel="0" collapsed="false">
      <c r="A28" s="7" t="s">
        <v>91</v>
      </c>
      <c r="B28" s="7"/>
      <c r="C28" s="7"/>
      <c r="D28" s="7"/>
      <c r="E28" s="8" t="n">
        <f aca="false">SUM(E26:E27)</f>
        <v>288</v>
      </c>
    </row>
  </sheetData>
  <mergeCells count="11">
    <mergeCell ref="A1:F1"/>
    <mergeCell ref="A4:F4"/>
    <mergeCell ref="A8:D8"/>
    <mergeCell ref="A10:F10"/>
    <mergeCell ref="A14:D14"/>
    <mergeCell ref="A16:F16"/>
    <mergeCell ref="A19:D19"/>
    <mergeCell ref="A21:F21"/>
    <mergeCell ref="A23:D23"/>
    <mergeCell ref="A25:F25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175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176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177</v>
      </c>
      <c r="B5" s="4" t="s">
        <v>178</v>
      </c>
      <c r="C5" s="5" t="n">
        <v>24</v>
      </c>
      <c r="D5" s="4" t="s">
        <v>10</v>
      </c>
      <c r="E5" s="6" t="n">
        <f aca="false">C5</f>
        <v>24</v>
      </c>
      <c r="F5" s="4" t="s">
        <v>179</v>
      </c>
    </row>
    <row r="6" customFormat="false" ht="15" hidden="false" customHeight="false" outlineLevel="0" collapsed="false">
      <c r="A6" s="4" t="s">
        <v>180</v>
      </c>
      <c r="B6" s="4" t="s">
        <v>181</v>
      </c>
      <c r="C6" s="5" t="n">
        <v>16</v>
      </c>
      <c r="D6" s="4" t="s">
        <v>10</v>
      </c>
      <c r="E6" s="6" t="n">
        <f aca="false">C6</f>
        <v>16</v>
      </c>
      <c r="F6" s="4" t="s">
        <v>182</v>
      </c>
    </row>
    <row r="7" customFormat="false" ht="15" hidden="false" customHeight="false" outlineLevel="0" collapsed="false">
      <c r="A7" s="4" t="s">
        <v>183</v>
      </c>
      <c r="B7" s="4" t="s">
        <v>184</v>
      </c>
      <c r="C7" s="5" t="n">
        <v>8</v>
      </c>
      <c r="D7" s="4" t="s">
        <v>10</v>
      </c>
      <c r="E7" s="6" t="n">
        <f aca="false">C7</f>
        <v>8</v>
      </c>
      <c r="F7" s="4" t="s">
        <v>185</v>
      </c>
    </row>
    <row r="8" customFormat="false" ht="15" hidden="false" customHeight="false" outlineLevel="0" collapsed="false">
      <c r="A8" s="4" t="s">
        <v>186</v>
      </c>
      <c r="B8" s="4" t="s">
        <v>187</v>
      </c>
      <c r="C8" s="5" t="n">
        <v>20</v>
      </c>
      <c r="D8" s="4" t="s">
        <v>10</v>
      </c>
      <c r="E8" s="6" t="n">
        <f aca="false">C8</f>
        <v>20</v>
      </c>
      <c r="F8" s="4" t="s">
        <v>188</v>
      </c>
    </row>
    <row r="9" customFormat="false" ht="15" hidden="false" customHeight="false" outlineLevel="0" collapsed="false">
      <c r="A9" s="4" t="s">
        <v>189</v>
      </c>
      <c r="B9" s="4" t="s">
        <v>190</v>
      </c>
      <c r="C9" s="5" t="n">
        <v>12</v>
      </c>
      <c r="D9" s="4" t="s">
        <v>10</v>
      </c>
      <c r="E9" s="6" t="n">
        <f aca="false">C9</f>
        <v>12</v>
      </c>
      <c r="F9" s="4" t="s">
        <v>191</v>
      </c>
    </row>
    <row r="10" customFormat="false" ht="15" hidden="false" customHeight="false" outlineLevel="0" collapsed="false">
      <c r="A10" s="4" t="s">
        <v>192</v>
      </c>
      <c r="B10" s="4" t="s">
        <v>193</v>
      </c>
      <c r="C10" s="5" t="n">
        <v>200</v>
      </c>
      <c r="D10" s="4" t="s">
        <v>10</v>
      </c>
      <c r="E10" s="6" t="n">
        <f aca="false">C10</f>
        <v>200</v>
      </c>
      <c r="F10" s="4" t="s">
        <v>194</v>
      </c>
    </row>
    <row r="11" customFormat="false" ht="15" hidden="false" customHeight="false" outlineLevel="0" collapsed="false">
      <c r="A11" s="4" t="s">
        <v>195</v>
      </c>
      <c r="B11" s="4" t="s">
        <v>196</v>
      </c>
      <c r="C11" s="5" t="n">
        <v>150</v>
      </c>
      <c r="D11" s="4" t="s">
        <v>10</v>
      </c>
      <c r="E11" s="6" t="n">
        <f aca="false">C11</f>
        <v>150</v>
      </c>
      <c r="F11" s="4" t="s">
        <v>197</v>
      </c>
    </row>
    <row r="12" customFormat="false" ht="15" hidden="false" customHeight="false" outlineLevel="0" collapsed="false">
      <c r="A12" s="4" t="s">
        <v>198</v>
      </c>
      <c r="B12" s="4" t="s">
        <v>199</v>
      </c>
      <c r="C12" s="5" t="n">
        <v>80</v>
      </c>
      <c r="D12" s="4" t="s">
        <v>10</v>
      </c>
      <c r="E12" s="6" t="n">
        <f aca="false">C12</f>
        <v>80</v>
      </c>
      <c r="F12" s="4" t="s">
        <v>200</v>
      </c>
    </row>
    <row r="13" customFormat="false" ht="15" hidden="false" customHeight="false" outlineLevel="0" collapsed="false">
      <c r="A13" s="4" t="s">
        <v>201</v>
      </c>
      <c r="B13" s="4" t="s">
        <v>202</v>
      </c>
      <c r="C13" s="5" t="n">
        <v>40</v>
      </c>
      <c r="D13" s="4" t="s">
        <v>10</v>
      </c>
      <c r="E13" s="6" t="n">
        <f aca="false">C13</f>
        <v>40</v>
      </c>
      <c r="F13" s="4" t="s">
        <v>203</v>
      </c>
    </row>
    <row r="14" customFormat="false" ht="15" hidden="false" customHeight="false" outlineLevel="0" collapsed="false">
      <c r="A14" s="4" t="s">
        <v>204</v>
      </c>
      <c r="B14" s="4" t="s">
        <v>205</v>
      </c>
      <c r="C14" s="5" t="n">
        <v>24</v>
      </c>
      <c r="D14" s="4" t="s">
        <v>10</v>
      </c>
      <c r="E14" s="6" t="n">
        <f aca="false">C14</f>
        <v>24</v>
      </c>
      <c r="F14" s="4" t="s">
        <v>206</v>
      </c>
    </row>
    <row r="15" customFormat="false" ht="15" hidden="false" customHeight="false" outlineLevel="0" collapsed="false">
      <c r="A15" s="7" t="s">
        <v>207</v>
      </c>
      <c r="B15" s="7"/>
      <c r="C15" s="7"/>
      <c r="D15" s="7"/>
      <c r="E15" s="8" t="n">
        <f aca="false">SUM(E5:E14)</f>
        <v>574</v>
      </c>
    </row>
    <row r="17" customFormat="false" ht="15" hidden="false" customHeight="false" outlineLevel="0" collapsed="false">
      <c r="A17" s="3" t="s">
        <v>208</v>
      </c>
      <c r="B17" s="3"/>
      <c r="C17" s="3"/>
      <c r="D17" s="3"/>
      <c r="E17" s="3"/>
      <c r="F17" s="3"/>
    </row>
    <row r="18" customFormat="false" ht="15" hidden="false" customHeight="false" outlineLevel="0" collapsed="false">
      <c r="A18" s="4" t="s">
        <v>209</v>
      </c>
      <c r="B18" s="4" t="s">
        <v>210</v>
      </c>
      <c r="C18" s="5" t="n">
        <v>75</v>
      </c>
      <c r="D18" s="4" t="s">
        <v>10</v>
      </c>
      <c r="E18" s="6" t="n">
        <f aca="false">C18</f>
        <v>75</v>
      </c>
      <c r="F18" s="4" t="s">
        <v>211</v>
      </c>
    </row>
    <row r="19" customFormat="false" ht="15" hidden="false" customHeight="false" outlineLevel="0" collapsed="false">
      <c r="A19" s="4" t="s">
        <v>212</v>
      </c>
      <c r="B19" s="4" t="s">
        <v>210</v>
      </c>
      <c r="C19" s="5" t="n">
        <v>40</v>
      </c>
      <c r="D19" s="4" t="s">
        <v>10</v>
      </c>
      <c r="E19" s="6" t="n">
        <f aca="false">C19</f>
        <v>40</v>
      </c>
      <c r="F19" s="4" t="s">
        <v>213</v>
      </c>
    </row>
    <row r="20" customFormat="false" ht="15" hidden="false" customHeight="false" outlineLevel="0" collapsed="false">
      <c r="A20" s="4" t="s">
        <v>214</v>
      </c>
      <c r="B20" s="4" t="s">
        <v>215</v>
      </c>
      <c r="C20" s="5" t="n">
        <v>24</v>
      </c>
      <c r="D20" s="4" t="s">
        <v>10</v>
      </c>
      <c r="E20" s="6" t="n">
        <f aca="false">C20</f>
        <v>24</v>
      </c>
      <c r="F20" s="4" t="s">
        <v>216</v>
      </c>
    </row>
    <row r="21" customFormat="false" ht="15" hidden="false" customHeight="false" outlineLevel="0" collapsed="false">
      <c r="A21" s="4" t="s">
        <v>217</v>
      </c>
      <c r="B21" s="4" t="s">
        <v>218</v>
      </c>
      <c r="C21" s="5" t="n">
        <v>16</v>
      </c>
      <c r="D21" s="4" t="s">
        <v>10</v>
      </c>
      <c r="E21" s="6" t="n">
        <f aca="false">C21</f>
        <v>16</v>
      </c>
      <c r="F21" s="4" t="s">
        <v>219</v>
      </c>
    </row>
    <row r="22" customFormat="false" ht="15" hidden="false" customHeight="false" outlineLevel="0" collapsed="false">
      <c r="A22" s="7" t="s">
        <v>220</v>
      </c>
      <c r="B22" s="7"/>
      <c r="C22" s="7"/>
      <c r="D22" s="7"/>
      <c r="E22" s="8" t="n">
        <f aca="false">SUM(E18:E21)</f>
        <v>155</v>
      </c>
    </row>
    <row r="24" customFormat="false" ht="15" hidden="false" customHeight="false" outlineLevel="0" collapsed="false">
      <c r="A24" s="3" t="s">
        <v>221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4" t="s">
        <v>222</v>
      </c>
      <c r="B25" s="4" t="s">
        <v>223</v>
      </c>
      <c r="C25" s="5" t="n">
        <v>100</v>
      </c>
      <c r="D25" s="4" t="s">
        <v>224</v>
      </c>
      <c r="E25" s="6" t="n">
        <f aca="false">C25</f>
        <v>100</v>
      </c>
      <c r="F25" s="4" t="s">
        <v>225</v>
      </c>
    </row>
    <row r="26" customFormat="false" ht="15" hidden="false" customHeight="false" outlineLevel="0" collapsed="false">
      <c r="A26" s="4" t="s">
        <v>226</v>
      </c>
      <c r="B26" s="4" t="s">
        <v>227</v>
      </c>
      <c r="C26" s="5" t="n">
        <v>75</v>
      </c>
      <c r="D26" s="4" t="s">
        <v>224</v>
      </c>
      <c r="E26" s="6" t="n">
        <f aca="false">C26</f>
        <v>75</v>
      </c>
      <c r="F26" s="4" t="s">
        <v>228</v>
      </c>
    </row>
    <row r="27" customFormat="false" ht="15" hidden="false" customHeight="false" outlineLevel="0" collapsed="false">
      <c r="A27" s="4" t="s">
        <v>229</v>
      </c>
      <c r="B27" s="4" t="s">
        <v>230</v>
      </c>
      <c r="C27" s="5" t="n">
        <v>100</v>
      </c>
      <c r="D27" s="4" t="s">
        <v>224</v>
      </c>
      <c r="E27" s="6" t="n">
        <f aca="false">C27</f>
        <v>100</v>
      </c>
      <c r="F27" s="4" t="s">
        <v>231</v>
      </c>
    </row>
    <row r="28" customFormat="false" ht="15" hidden="false" customHeight="false" outlineLevel="0" collapsed="false">
      <c r="A28" s="4" t="s">
        <v>232</v>
      </c>
      <c r="B28" s="4" t="s">
        <v>233</v>
      </c>
      <c r="C28" s="5" t="n">
        <v>50</v>
      </c>
      <c r="D28" s="4" t="s">
        <v>224</v>
      </c>
      <c r="E28" s="6" t="n">
        <f aca="false">C28</f>
        <v>50</v>
      </c>
      <c r="F28" s="4" t="s">
        <v>234</v>
      </c>
    </row>
    <row r="29" customFormat="false" ht="15" hidden="false" customHeight="false" outlineLevel="0" collapsed="false">
      <c r="A29" s="4" t="s">
        <v>235</v>
      </c>
      <c r="B29" s="4" t="s">
        <v>236</v>
      </c>
      <c r="C29" s="5" t="n">
        <v>25</v>
      </c>
      <c r="D29" s="4" t="s">
        <v>224</v>
      </c>
      <c r="E29" s="6" t="n">
        <f aca="false">C29</f>
        <v>25</v>
      </c>
      <c r="F29" s="4" t="s">
        <v>237</v>
      </c>
    </row>
    <row r="30" customFormat="false" ht="15" hidden="false" customHeight="false" outlineLevel="0" collapsed="false">
      <c r="A30" s="7" t="s">
        <v>238</v>
      </c>
      <c r="B30" s="7"/>
      <c r="C30" s="7"/>
      <c r="D30" s="7"/>
      <c r="E30" s="8" t="n">
        <f aca="false">SUM(E25:E29)</f>
        <v>350</v>
      </c>
    </row>
    <row r="32" customFormat="false" ht="15" hidden="false" customHeight="false" outlineLevel="0" collapsed="false">
      <c r="A32" s="3" t="s">
        <v>239</v>
      </c>
      <c r="B32" s="3"/>
      <c r="C32" s="3"/>
      <c r="D32" s="3"/>
      <c r="E32" s="3"/>
      <c r="F32" s="3"/>
    </row>
    <row r="33" customFormat="false" ht="15" hidden="false" customHeight="false" outlineLevel="0" collapsed="false">
      <c r="A33" s="4" t="s">
        <v>240</v>
      </c>
      <c r="B33" s="4" t="s">
        <v>241</v>
      </c>
      <c r="C33" s="5" t="n">
        <v>32</v>
      </c>
      <c r="D33" s="4" t="s">
        <v>10</v>
      </c>
      <c r="E33" s="6" t="n">
        <f aca="false">C33</f>
        <v>32</v>
      </c>
      <c r="F33" s="4" t="s">
        <v>242</v>
      </c>
    </row>
    <row r="34" customFormat="false" ht="15" hidden="false" customHeight="false" outlineLevel="0" collapsed="false">
      <c r="A34" s="4" t="s">
        <v>243</v>
      </c>
      <c r="B34" s="4" t="s">
        <v>244</v>
      </c>
      <c r="C34" s="5" t="n">
        <v>8</v>
      </c>
      <c r="D34" s="4" t="s">
        <v>10</v>
      </c>
      <c r="E34" s="6" t="n">
        <f aca="false">C34</f>
        <v>8</v>
      </c>
      <c r="F34" s="4" t="s">
        <v>245</v>
      </c>
    </row>
    <row r="35" customFormat="false" ht="15" hidden="false" customHeight="false" outlineLevel="0" collapsed="false">
      <c r="A35" s="4" t="s">
        <v>246</v>
      </c>
      <c r="B35" s="4" t="s">
        <v>247</v>
      </c>
      <c r="C35" s="5" t="n">
        <v>8</v>
      </c>
      <c r="D35" s="4" t="s">
        <v>10</v>
      </c>
      <c r="E35" s="6" t="n">
        <f aca="false">C35</f>
        <v>8</v>
      </c>
      <c r="F35" s="4" t="s">
        <v>248</v>
      </c>
    </row>
    <row r="36" customFormat="false" ht="15" hidden="false" customHeight="false" outlineLevel="0" collapsed="false">
      <c r="A36" s="7" t="s">
        <v>249</v>
      </c>
      <c r="B36" s="7"/>
      <c r="C36" s="7"/>
      <c r="D36" s="7"/>
      <c r="E36" s="8" t="n">
        <f aca="false">SUM(E33:E35)</f>
        <v>48</v>
      </c>
    </row>
  </sheetData>
  <mergeCells count="9">
    <mergeCell ref="A1:F1"/>
    <mergeCell ref="A4:F4"/>
    <mergeCell ref="A15:D15"/>
    <mergeCell ref="A17:F17"/>
    <mergeCell ref="A22:D22"/>
    <mergeCell ref="A24:F24"/>
    <mergeCell ref="A30:D30"/>
    <mergeCell ref="A32:F32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250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251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252</v>
      </c>
      <c r="B5" s="4" t="s">
        <v>253</v>
      </c>
      <c r="C5" s="5" t="n">
        <v>4</v>
      </c>
      <c r="D5" s="4" t="s">
        <v>10</v>
      </c>
      <c r="E5" s="6" t="n">
        <f aca="false">C5*24</f>
        <v>96</v>
      </c>
      <c r="F5" s="4" t="s">
        <v>254</v>
      </c>
    </row>
    <row r="6" customFormat="false" ht="15" hidden="false" customHeight="false" outlineLevel="0" collapsed="false">
      <c r="A6" s="4" t="s">
        <v>255</v>
      </c>
      <c r="B6" s="4" t="s">
        <v>256</v>
      </c>
      <c r="C6" s="5" t="n">
        <v>3</v>
      </c>
      <c r="D6" s="4" t="s">
        <v>10</v>
      </c>
      <c r="E6" s="6" t="n">
        <f aca="false">C6*20</f>
        <v>60</v>
      </c>
      <c r="F6" s="4" t="s">
        <v>63</v>
      </c>
    </row>
    <row r="7" customFormat="false" ht="15" hidden="false" customHeight="false" outlineLevel="0" collapsed="false">
      <c r="A7" s="4" t="s">
        <v>257</v>
      </c>
      <c r="B7" s="4" t="s">
        <v>258</v>
      </c>
      <c r="C7" s="5" t="n">
        <v>2</v>
      </c>
      <c r="D7" s="4" t="s">
        <v>10</v>
      </c>
      <c r="E7" s="6" t="n">
        <f aca="false">C7*28</f>
        <v>56</v>
      </c>
      <c r="F7" s="4" t="s">
        <v>259</v>
      </c>
    </row>
    <row r="8" customFormat="false" ht="15" hidden="false" customHeight="false" outlineLevel="0" collapsed="false">
      <c r="A8" s="4" t="s">
        <v>260</v>
      </c>
      <c r="B8" s="4" t="s">
        <v>261</v>
      </c>
      <c r="C8" s="5" t="n">
        <v>12</v>
      </c>
      <c r="D8" s="4" t="s">
        <v>10</v>
      </c>
      <c r="E8" s="6" t="n">
        <f aca="false">C8*12</f>
        <v>144</v>
      </c>
      <c r="F8" s="4" t="s">
        <v>262</v>
      </c>
    </row>
    <row r="9" customFormat="false" ht="15" hidden="false" customHeight="false" outlineLevel="0" collapsed="false">
      <c r="A9" s="4" t="s">
        <v>263</v>
      </c>
      <c r="B9" s="4" t="s">
        <v>264</v>
      </c>
      <c r="C9" s="5" t="n">
        <v>12</v>
      </c>
      <c r="D9" s="4" t="s">
        <v>10</v>
      </c>
      <c r="E9" s="6" t="n">
        <f aca="false">C9</f>
        <v>12</v>
      </c>
      <c r="F9" s="4" t="s">
        <v>265</v>
      </c>
    </row>
    <row r="10" customFormat="false" ht="15" hidden="false" customHeight="false" outlineLevel="0" collapsed="false">
      <c r="A10" s="4" t="s">
        <v>266</v>
      </c>
      <c r="B10" s="4" t="s">
        <v>267</v>
      </c>
      <c r="C10" s="5" t="n">
        <v>48</v>
      </c>
      <c r="D10" s="4" t="s">
        <v>10</v>
      </c>
      <c r="E10" s="6" t="n">
        <f aca="false">C10</f>
        <v>48</v>
      </c>
      <c r="F10" s="4" t="s">
        <v>268</v>
      </c>
    </row>
    <row r="12" customFormat="false" ht="15" hidden="false" customHeight="false" outlineLevel="0" collapsed="false">
      <c r="A12" s="12" t="s">
        <v>269</v>
      </c>
    </row>
  </sheetData>
  <mergeCells count="2">
    <mergeCell ref="A1:F1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2026-02-02T21:24:22Z</dcterms:created>
  <dc:creator>openpyxl</dc:creator>
  <dc:description/>
  <dc:language>en-US</dc:language>
  <cp:lastModifiedBy/>
  <dcterms:modified xsi:type="dcterms:W3CDTF">2026-02-02T21:24:22Z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