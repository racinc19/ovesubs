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 Bid vs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246"/>
      </patternFill>
    </fill>
    <fill>
      <patternFill patternType="solid">
        <fgColor rgb="006E8BA8"/>
      </patternFill>
    </fill>
    <fill>
      <patternFill patternType="solid">
        <fgColor rgb="00F5A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pivotButton="0" quotePrefix="0" xfId="0"/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6" customWidth="1" min="4" max="4"/>
    <col width="10" customWidth="1" min="5" max="5"/>
    <col width="12" customWidth="1" min="6" max="6"/>
    <col width="14" customWidth="1" min="7" max="7"/>
    <col width="13" customWidth="1" min="8" max="8"/>
    <col width="14" customWidth="1" min="9" max="9"/>
    <col width="34" customWidth="1" min="10" max="10"/>
  </cols>
  <sheetData>
    <row r="1">
      <c r="A1" s="1" t="inlineStr">
        <is>
          <t>#</t>
        </is>
      </c>
      <c r="B1" s="1" t="inlineStr">
        <is>
          <t>Description</t>
        </is>
      </c>
      <c r="C1" s="1" t="inlineStr">
        <is>
          <t>Bid Qty</t>
        </is>
      </c>
      <c r="D1" s="1" t="inlineStr">
        <is>
          <t>Unit</t>
        </is>
      </c>
      <c r="E1" s="1" t="inlineStr">
        <is>
          <t>Bid Rate</t>
        </is>
      </c>
      <c r="F1" s="1" t="inlineStr">
        <is>
          <t>Bid Total</t>
        </is>
      </c>
      <c r="G1" s="1" t="inlineStr">
        <is>
          <t>Inv 2644 (due 7/2)</t>
        </is>
      </c>
      <c r="H1" s="1" t="inlineStr">
        <is>
          <t>Billed to date</t>
        </is>
      </c>
      <c r="I1" s="1" t="inlineStr">
        <is>
          <t>Invoice 2647</t>
        </is>
      </c>
      <c r="J1" s="1" t="inlineStr">
        <is>
          <t>Notes</t>
        </is>
      </c>
      <c r="K1" t="inlineStr">
        <is>
          <t>Invoice 2644</t>
        </is>
      </c>
    </row>
    <row r="2">
      <c r="A2" s="2" t="inlineStr">
        <is>
          <t>FOOTINGS &amp; WALLS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t="n">
        <v>1</v>
      </c>
      <c r="B3" t="inlineStr">
        <is>
          <t>Mobilization / Admin / Layout</t>
        </is>
      </c>
      <c r="C3" t="n">
        <v>1</v>
      </c>
      <c r="D3" t="inlineStr">
        <is>
          <t>LS</t>
        </is>
      </c>
      <c r="E3" s="3" t="n">
        <v>4000</v>
      </c>
      <c r="F3" s="3" t="n">
        <v>4000</v>
      </c>
      <c r="G3" s="3" t="n">
        <v>1000</v>
      </c>
      <c r="H3" s="3" t="n">
        <v>1000</v>
      </c>
      <c r="I3" s="3" t="n">
        <v>3000</v>
      </c>
      <c r="J3" t="inlineStr">
        <is>
          <t>25% draw</t>
        </is>
      </c>
    </row>
    <row r="4">
      <c r="A4" s="4" t="n">
        <v>2</v>
      </c>
      <c r="B4" s="4" t="inlineStr">
        <is>
          <t>Footings 18x12</t>
        </is>
      </c>
      <c r="C4" s="4" t="n">
        <v>402</v>
      </c>
      <c r="D4" s="4" t="inlineStr">
        <is>
          <t>LF</t>
        </is>
      </c>
      <c r="E4" s="5" t="n">
        <v>26</v>
      </c>
      <c r="F4" s="5" t="n">
        <v>10452</v>
      </c>
      <c r="G4" s="5" t="n">
        <v>11180</v>
      </c>
      <c r="H4" s="5" t="n">
        <v>11180</v>
      </c>
      <c r="I4" s="5" t="n">
        <v>-728</v>
      </c>
      <c r="J4" s="4" t="inlineStr">
        <is>
          <t>OVERAGE: billed 430 LF (+28)</t>
        </is>
      </c>
    </row>
    <row r="5">
      <c r="A5" t="n">
        <v>3</v>
      </c>
      <c r="B5" t="inlineStr">
        <is>
          <t>Footings 30x12</t>
        </is>
      </c>
      <c r="C5" t="n">
        <v>293</v>
      </c>
      <c r="D5" t="inlineStr">
        <is>
          <t>LF</t>
        </is>
      </c>
      <c r="E5" s="3" t="n">
        <v>34.37</v>
      </c>
      <c r="F5" s="3" t="n">
        <v>10070.41</v>
      </c>
      <c r="I5" s="3" t="n">
        <v>10070.41</v>
      </c>
    </row>
    <row r="6">
      <c r="A6" t="n">
        <v>4</v>
      </c>
      <c r="B6" t="inlineStr">
        <is>
          <t>Interior Footings 18x12</t>
        </is>
      </c>
      <c r="C6" t="n">
        <v>57</v>
      </c>
      <c r="D6" t="inlineStr">
        <is>
          <t>LF</t>
        </is>
      </c>
      <c r="E6" s="3" t="n">
        <v>22</v>
      </c>
      <c r="F6" s="3" t="n">
        <v>1254</v>
      </c>
      <c r="I6" s="3" t="n">
        <v>1254</v>
      </c>
    </row>
    <row r="7">
      <c r="A7" t="n">
        <v>5</v>
      </c>
      <c r="B7" t="inlineStr">
        <is>
          <t>Interior Footings 30x12</t>
        </is>
      </c>
      <c r="C7" t="n">
        <v>94</v>
      </c>
      <c r="D7" t="inlineStr">
        <is>
          <t>LF</t>
        </is>
      </c>
      <c r="E7" s="3" t="n">
        <v>29</v>
      </c>
      <c r="F7" s="3" t="n">
        <v>2726</v>
      </c>
      <c r="I7" s="3" t="n">
        <v>2726</v>
      </c>
    </row>
    <row r="8">
      <c r="A8" t="n">
        <v>6</v>
      </c>
      <c r="B8" t="inlineStr">
        <is>
          <t>Spread Footing 24x24x12</t>
        </is>
      </c>
      <c r="C8" t="n">
        <v>3</v>
      </c>
      <c r="D8" t="inlineStr">
        <is>
          <t>EA</t>
        </is>
      </c>
      <c r="E8" s="3" t="n">
        <v>123</v>
      </c>
      <c r="F8" s="3" t="n">
        <v>369</v>
      </c>
      <c r="G8" s="3" t="n">
        <v>369</v>
      </c>
      <c r="H8" s="3" t="n">
        <v>369</v>
      </c>
      <c r="I8" s="3" t="n">
        <v>0</v>
      </c>
    </row>
    <row r="9">
      <c r="A9" t="n">
        <v>7</v>
      </c>
      <c r="B9" t="inlineStr">
        <is>
          <t>Spread Footing 30x30x12</t>
        </is>
      </c>
      <c r="C9" t="n">
        <v>2</v>
      </c>
      <c r="D9" t="inlineStr">
        <is>
          <t>EA</t>
        </is>
      </c>
      <c r="E9" s="3" t="n">
        <v>167</v>
      </c>
      <c r="F9" s="3" t="n">
        <v>334</v>
      </c>
      <c r="G9" s="3" t="n">
        <v>334</v>
      </c>
      <c r="H9" s="3" t="n">
        <v>334</v>
      </c>
      <c r="I9" s="3" t="n">
        <v>0</v>
      </c>
    </row>
    <row r="10">
      <c r="A10" t="n">
        <v>8</v>
      </c>
      <c r="B10" t="inlineStr">
        <is>
          <t>Spread Footing 36x36x12</t>
        </is>
      </c>
      <c r="C10" t="n">
        <v>4</v>
      </c>
      <c r="D10" t="inlineStr">
        <is>
          <t>EA</t>
        </is>
      </c>
      <c r="E10" s="3" t="n">
        <v>210</v>
      </c>
      <c r="F10" s="3" t="n">
        <v>840</v>
      </c>
      <c r="G10" s="3" t="n">
        <v>840</v>
      </c>
      <c r="H10" s="3" t="n">
        <v>840</v>
      </c>
      <c r="I10" s="3" t="n">
        <v>0</v>
      </c>
    </row>
    <row r="11">
      <c r="A11" t="n">
        <v>9</v>
      </c>
      <c r="B11" t="inlineStr">
        <is>
          <t>Spread Footing 42x42x12</t>
        </is>
      </c>
      <c r="C11" t="n">
        <v>6</v>
      </c>
      <c r="D11" t="inlineStr">
        <is>
          <t>EA</t>
        </is>
      </c>
      <c r="E11" s="3" t="n">
        <v>270</v>
      </c>
      <c r="F11" s="3" t="n">
        <v>1620</v>
      </c>
      <c r="G11" s="3" t="n">
        <v>1620</v>
      </c>
      <c r="H11" s="3" t="n">
        <v>1620</v>
      </c>
      <c r="I11" s="3" t="n">
        <v>0</v>
      </c>
    </row>
    <row r="12">
      <c r="A12" t="n">
        <v>10</v>
      </c>
      <c r="B12" t="inlineStr">
        <is>
          <t>Spread Footing 48x48x12</t>
        </is>
      </c>
      <c r="C12" t="n">
        <v>2</v>
      </c>
      <c r="D12" t="inlineStr">
        <is>
          <t>EA</t>
        </is>
      </c>
      <c r="E12" s="3" t="n">
        <v>330</v>
      </c>
      <c r="F12" s="3" t="n">
        <v>660</v>
      </c>
      <c r="G12" s="3" t="n">
        <v>660</v>
      </c>
      <c r="H12" s="3" t="n">
        <v>660</v>
      </c>
      <c r="I12" s="3" t="n">
        <v>0</v>
      </c>
    </row>
    <row r="13">
      <c r="A13" t="n">
        <v>11</v>
      </c>
      <c r="B13" t="inlineStr">
        <is>
          <t>Spread Footing 60x60x12</t>
        </is>
      </c>
      <c r="C13" t="n">
        <v>9</v>
      </c>
      <c r="D13" t="inlineStr">
        <is>
          <t>EA</t>
        </is>
      </c>
      <c r="E13" s="3" t="n">
        <v>490</v>
      </c>
      <c r="F13" s="3" t="n">
        <v>4410</v>
      </c>
      <c r="G13" s="3" t="n">
        <v>2450</v>
      </c>
      <c r="H13" s="3" t="n">
        <v>2450</v>
      </c>
      <c r="I13" s="3" t="n">
        <v>1960</v>
      </c>
      <c r="J13" t="inlineStr">
        <is>
          <t>billed 5 of 9</t>
        </is>
      </c>
    </row>
    <row r="14">
      <c r="A14" t="n">
        <v>12</v>
      </c>
      <c r="B14" t="inlineStr">
        <is>
          <t>Spot Footing 36x36x12</t>
        </is>
      </c>
      <c r="C14" t="n">
        <v>2</v>
      </c>
      <c r="D14" t="inlineStr">
        <is>
          <t>EA</t>
        </is>
      </c>
      <c r="E14" s="3" t="n">
        <v>330</v>
      </c>
      <c r="F14" s="3" t="n">
        <v>660</v>
      </c>
      <c r="G14" s="3" t="n">
        <v>660</v>
      </c>
      <c r="H14" s="3" t="n">
        <v>660</v>
      </c>
      <c r="I14" s="3" t="n">
        <v>0</v>
      </c>
    </row>
    <row r="15">
      <c r="A15" t="n">
        <v>13</v>
      </c>
      <c r="B15" t="inlineStr">
        <is>
          <t>Spot Footing 42x42x12</t>
        </is>
      </c>
      <c r="C15" t="n">
        <v>1</v>
      </c>
      <c r="D15" t="inlineStr">
        <is>
          <t>EA</t>
        </is>
      </c>
      <c r="E15" s="3" t="n">
        <v>415</v>
      </c>
      <c r="F15" s="3" t="n">
        <v>415</v>
      </c>
      <c r="G15" s="3" t="n">
        <v>415</v>
      </c>
      <c r="H15" s="3" t="n">
        <v>415</v>
      </c>
      <c r="I15" s="3" t="n">
        <v>0</v>
      </c>
    </row>
    <row r="16">
      <c r="A16" t="n">
        <v>14</v>
      </c>
      <c r="B16" t="inlineStr">
        <is>
          <t>Spot Footing 48x48x12</t>
        </is>
      </c>
      <c r="C16" t="n">
        <v>1</v>
      </c>
      <c r="D16" t="inlineStr">
        <is>
          <t>EA</t>
        </is>
      </c>
      <c r="E16" s="3" t="n">
        <v>500</v>
      </c>
      <c r="F16" s="3" t="n">
        <v>500</v>
      </c>
      <c r="G16" s="3" t="n">
        <v>500</v>
      </c>
      <c r="H16" s="3" t="n">
        <v>500</v>
      </c>
      <c r="I16" s="3" t="n">
        <v>0</v>
      </c>
    </row>
    <row r="17">
      <c r="A17" t="n">
        <v>15</v>
      </c>
      <c r="B17" t="inlineStr">
        <is>
          <t>Spot Footing 60x60x12</t>
        </is>
      </c>
      <c r="C17" t="n">
        <v>2</v>
      </c>
      <c r="D17" t="inlineStr">
        <is>
          <t>EA</t>
        </is>
      </c>
      <c r="E17" s="3" t="n">
        <v>700</v>
      </c>
      <c r="F17" s="3" t="n">
        <v>1400</v>
      </c>
      <c r="I17" s="3" t="n">
        <v>1400</v>
      </c>
    </row>
    <row r="18">
      <c r="A18" t="n">
        <v>16</v>
      </c>
      <c r="B18" t="inlineStr">
        <is>
          <t>Footing Steps</t>
        </is>
      </c>
      <c r="C18" t="n">
        <v>0</v>
      </c>
      <c r="D18" t="inlineStr">
        <is>
          <t>EA</t>
        </is>
      </c>
      <c r="E18" s="3" t="n">
        <v>75</v>
      </c>
      <c r="F18" s="3" t="n">
        <v>0</v>
      </c>
      <c r="I18" s="3" t="n">
        <v>0</v>
      </c>
    </row>
    <row r="19">
      <c r="A19" t="n">
        <v>17</v>
      </c>
      <c r="B19" t="inlineStr">
        <is>
          <t>Round Walls</t>
        </is>
      </c>
      <c r="C19" t="n">
        <v>0</v>
      </c>
      <c r="D19" t="inlineStr">
        <is>
          <t>EA</t>
        </is>
      </c>
      <c r="E19" s="3" t="n">
        <v>150</v>
      </c>
      <c r="F19" s="3" t="n">
        <v>0</v>
      </c>
      <c r="I19" s="3" t="n">
        <v>0</v>
      </c>
    </row>
    <row r="20">
      <c r="A20" t="n">
        <v>18</v>
      </c>
      <c r="B20" t="inlineStr">
        <is>
          <t>24" Stem Wall</t>
        </is>
      </c>
      <c r="C20" t="n">
        <v>406</v>
      </c>
      <c r="D20" t="inlineStr">
        <is>
          <t>LF</t>
        </is>
      </c>
      <c r="E20" s="3" t="n">
        <v>34</v>
      </c>
      <c r="F20" s="3" t="n">
        <v>13804</v>
      </c>
      <c r="I20" s="3" t="n">
        <v>13804</v>
      </c>
    </row>
    <row r="21">
      <c r="A21" t="n">
        <v>19</v>
      </c>
      <c r="B21" t="inlineStr">
        <is>
          <t>13' x 8" Foundation Wall</t>
        </is>
      </c>
      <c r="C21" t="n">
        <v>107</v>
      </c>
      <c r="D21" t="inlineStr">
        <is>
          <t>LF</t>
        </is>
      </c>
      <c r="E21" s="3" t="n">
        <v>195</v>
      </c>
      <c r="F21" s="3" t="n">
        <v>20865</v>
      </c>
      <c r="I21" s="3" t="n">
        <v>20865</v>
      </c>
    </row>
    <row r="22">
      <c r="A22" t="n">
        <v>20</v>
      </c>
      <c r="B22" t="inlineStr">
        <is>
          <t>10' x 8" Foundation Wall</t>
        </is>
      </c>
      <c r="C22" t="n">
        <v>236</v>
      </c>
      <c r="D22" t="inlineStr">
        <is>
          <t>LF</t>
        </is>
      </c>
      <c r="E22" s="3" t="n">
        <v>135</v>
      </c>
      <c r="F22" s="3" t="n">
        <v>31860</v>
      </c>
      <c r="I22" s="3" t="n">
        <v>31860</v>
      </c>
    </row>
    <row r="23">
      <c r="A23" t="n">
        <v>21</v>
      </c>
      <c r="B23" t="inlineStr">
        <is>
          <t>Corner Charge</t>
        </is>
      </c>
      <c r="C23" t="n">
        <v>31</v>
      </c>
      <c r="D23" t="inlineStr">
        <is>
          <t>EA</t>
        </is>
      </c>
      <c r="E23" s="3" t="n">
        <v>35</v>
      </c>
      <c r="F23" s="3" t="n">
        <v>1085</v>
      </c>
      <c r="I23" s="3" t="n">
        <v>1085</v>
      </c>
    </row>
    <row r="24">
      <c r="A24" t="n">
        <v>22</v>
      </c>
      <c r="B24" t="inlineStr">
        <is>
          <t>Wall Corner Charge</t>
        </is>
      </c>
      <c r="C24" t="n">
        <v>12</v>
      </c>
      <c r="D24" t="inlineStr">
        <is>
          <t>EA</t>
        </is>
      </c>
      <c r="E24" s="3" t="n">
        <v>45</v>
      </c>
      <c r="F24" s="3" t="n">
        <v>540</v>
      </c>
      <c r="I24" s="3" t="n">
        <v>540</v>
      </c>
    </row>
    <row r="25">
      <c r="A25" t="n">
        <v>23</v>
      </c>
      <c r="B25" t="inlineStr">
        <is>
          <t>Popouts</t>
        </is>
      </c>
      <c r="C25" t="n">
        <v>1</v>
      </c>
      <c r="D25" t="inlineStr">
        <is>
          <t>EA</t>
        </is>
      </c>
      <c r="E25" s="3" t="n">
        <v>125</v>
      </c>
      <c r="F25" s="3" t="n">
        <v>125</v>
      </c>
      <c r="I25" s="3" t="n">
        <v>125</v>
      </c>
    </row>
    <row r="26">
      <c r="A26" s="2" t="inlineStr">
        <is>
          <t>SLABS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4" t="n">
        <v>24</v>
      </c>
      <c r="B27" s="4" t="inlineStr">
        <is>
          <t>Basement Floor Slab w/ #3 Rebar Mat</t>
        </is>
      </c>
      <c r="C27" s="4" t="n">
        <v>2181</v>
      </c>
      <c r="D27" s="4" t="inlineStr">
        <is>
          <t>SF</t>
        </is>
      </c>
      <c r="E27" s="5" t="n">
        <v>6.7</v>
      </c>
      <c r="F27" s="5" t="n">
        <v>14612.7</v>
      </c>
      <c r="G27" s="5" t="n">
        <v>15852.2</v>
      </c>
      <c r="H27" s="5" t="n">
        <v>15852.2</v>
      </c>
      <c r="I27" s="5" t="n">
        <v>-1239.5</v>
      </c>
      <c r="J27" s="4" t="inlineStr">
        <is>
          <t>OVERAGE: billed 2,366 SF (+185)</t>
        </is>
      </c>
    </row>
    <row r="28">
      <c r="A28" t="n">
        <v>25</v>
      </c>
      <c r="B28" t="inlineStr">
        <is>
          <t>Main Floor Slab w/ #3 Rebar Mat</t>
        </is>
      </c>
      <c r="C28" t="n">
        <v>2600</v>
      </c>
      <c r="D28" t="inlineStr">
        <is>
          <t>SF</t>
        </is>
      </c>
      <c r="E28" s="3" t="n">
        <v>6.7</v>
      </c>
      <c r="F28" s="3" t="n">
        <v>17420</v>
      </c>
      <c r="I28" s="3" t="n">
        <v>17420</v>
      </c>
    </row>
    <row r="29">
      <c r="A29" t="n">
        <v>26</v>
      </c>
      <c r="B29" t="inlineStr">
        <is>
          <t>Rim Forming</t>
        </is>
      </c>
      <c r="C29" t="n">
        <v>178</v>
      </c>
      <c r="D29" t="inlineStr">
        <is>
          <t>LF</t>
        </is>
      </c>
      <c r="E29" s="3" t="n">
        <v>8</v>
      </c>
      <c r="F29" s="3" t="n">
        <v>1424</v>
      </c>
      <c r="G29" s="3" t="n">
        <v>1424</v>
      </c>
      <c r="H29" s="3" t="n">
        <v>1424</v>
      </c>
      <c r="I29" s="3" t="n">
        <v>0</v>
      </c>
    </row>
    <row r="30">
      <c r="A30" t="n">
        <v>27</v>
      </c>
      <c r="B30" t="inlineStr">
        <is>
          <t>Suspended 8" Floor Slab / B-deck</t>
        </is>
      </c>
      <c r="C30" t="n">
        <v>1180</v>
      </c>
      <c r="D30" t="inlineStr">
        <is>
          <t>SF</t>
        </is>
      </c>
      <c r="E30" s="3" t="n">
        <v>26.25</v>
      </c>
      <c r="F30" s="3" t="n">
        <v>30975</v>
      </c>
      <c r="G30" s="3" t="n">
        <v>11800</v>
      </c>
      <c r="H30" s="3" t="n">
        <v>11800</v>
      </c>
      <c r="I30" s="3" t="n">
        <v>19175</v>
      </c>
      <c r="J30" t="inlineStr">
        <is>
          <t>partial draw (lump 11,800)</t>
        </is>
      </c>
    </row>
    <row r="31">
      <c r="A31" t="n">
        <v>28</v>
      </c>
      <c r="B31" t="inlineStr">
        <is>
          <t>Garage Stemwalls</t>
        </is>
      </c>
      <c r="C31" t="n">
        <v>72</v>
      </c>
      <c r="D31" t="inlineStr">
        <is>
          <t>LF</t>
        </is>
      </c>
      <c r="E31" s="3" t="n">
        <v>24</v>
      </c>
      <c r="F31" s="3" t="n">
        <v>1728</v>
      </c>
      <c r="I31" s="3" t="n">
        <v>1728</v>
      </c>
    </row>
    <row r="32">
      <c r="A32" t="n">
        <v>29</v>
      </c>
      <c r="B32" t="inlineStr">
        <is>
          <t>Garage Slab w/ #3 Rebar Mat</t>
        </is>
      </c>
      <c r="C32" t="n">
        <v>1766</v>
      </c>
      <c r="D32" t="inlineStr">
        <is>
          <t>SF</t>
        </is>
      </c>
      <c r="E32" s="3" t="n">
        <v>6.65</v>
      </c>
      <c r="F32" s="3" t="n">
        <v>11743.9</v>
      </c>
      <c r="I32" s="3" t="n">
        <v>11743.9</v>
      </c>
    </row>
    <row r="33">
      <c r="A33" t="n">
        <v>30</v>
      </c>
      <c r="B33" t="inlineStr">
        <is>
          <t>Soft Cut Garage Slab</t>
        </is>
      </c>
      <c r="C33" t="n">
        <v>1</v>
      </c>
      <c r="D33" t="inlineStr">
        <is>
          <t>LS</t>
        </is>
      </c>
      <c r="E33" s="3" t="n">
        <v>600</v>
      </c>
      <c r="F33" s="3" t="n">
        <v>600</v>
      </c>
      <c r="I33" s="3" t="n">
        <v>600</v>
      </c>
    </row>
    <row r="34">
      <c r="A34" t="n">
        <v>31</v>
      </c>
      <c r="B34" t="inlineStr">
        <is>
          <t>Sunken Shower</t>
        </is>
      </c>
      <c r="C34" t="n">
        <v>0</v>
      </c>
      <c r="D34" t="inlineStr">
        <is>
          <t>EA</t>
        </is>
      </c>
      <c r="E34" s="3" t="n">
        <v>350</v>
      </c>
      <c r="F34" s="3" t="n">
        <v>0</v>
      </c>
      <c r="I34" s="3" t="n">
        <v>0</v>
      </c>
    </row>
    <row r="35">
      <c r="A35" t="n">
        <v>32</v>
      </c>
      <c r="B35" t="inlineStr">
        <is>
          <t>Hold Downs STHD 10</t>
        </is>
      </c>
      <c r="C35" t="n">
        <v>6</v>
      </c>
      <c r="D35" t="inlineStr">
        <is>
          <t>EA</t>
        </is>
      </c>
      <c r="E35" s="3" t="n">
        <v>30</v>
      </c>
      <c r="F35" s="3" t="n">
        <v>180</v>
      </c>
      <c r="I35" s="3" t="n">
        <v>180</v>
      </c>
    </row>
    <row r="36">
      <c r="A36" t="n">
        <v>33</v>
      </c>
      <c r="B36" t="inlineStr">
        <is>
          <t>Hold Downs STHD 14</t>
        </is>
      </c>
      <c r="C36" t="n">
        <v>0</v>
      </c>
      <c r="D36" t="inlineStr">
        <is>
          <t>EA</t>
        </is>
      </c>
      <c r="E36" s="3" t="n">
        <v>45</v>
      </c>
      <c r="F36" s="3" t="n">
        <v>0</v>
      </c>
      <c r="I36" s="3" t="n">
        <v>0</v>
      </c>
    </row>
    <row r="37">
      <c r="A37" t="n">
        <v>34</v>
      </c>
      <c r="B37" t="inlineStr">
        <is>
          <t>Bolts for Strong Walls</t>
        </is>
      </c>
      <c r="C37" t="n">
        <v>4</v>
      </c>
      <c r="D37" t="inlineStr">
        <is>
          <t>EA</t>
        </is>
      </c>
      <c r="E37" s="3" t="n">
        <v>250</v>
      </c>
      <c r="F37" s="3" t="n">
        <v>1000</v>
      </c>
      <c r="I37" s="3" t="n">
        <v>1000</v>
      </c>
    </row>
    <row r="38">
      <c r="A38" s="2" t="inlineStr">
        <is>
          <t>CONCRETE PUMPING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t="n">
        <v>35</v>
      </c>
      <c r="B39" t="inlineStr">
        <is>
          <t>Pumping - Basement Footings</t>
        </is>
      </c>
      <c r="C39" t="n">
        <v>1</v>
      </c>
      <c r="D39" t="inlineStr">
        <is>
          <t>LS</t>
        </is>
      </c>
      <c r="E39" s="3" t="n">
        <v>1400</v>
      </c>
      <c r="F39" s="3" t="n">
        <v>1400</v>
      </c>
      <c r="I39" s="3" t="n">
        <v>1400</v>
      </c>
    </row>
    <row r="40">
      <c r="A40" t="n">
        <v>36</v>
      </c>
      <c r="B40" t="inlineStr">
        <is>
          <t>Pumping - Basement Walls</t>
        </is>
      </c>
      <c r="C40" t="n">
        <v>1</v>
      </c>
      <c r="D40" t="inlineStr">
        <is>
          <t>LS</t>
        </is>
      </c>
      <c r="E40" s="3" t="n">
        <v>1800</v>
      </c>
      <c r="F40" s="3" t="n">
        <v>1800</v>
      </c>
      <c r="I40" s="3" t="n">
        <v>1800</v>
      </c>
    </row>
    <row r="41">
      <c r="A41" t="n">
        <v>37</v>
      </c>
      <c r="B41" t="inlineStr">
        <is>
          <t>Pumping - Basement Slab</t>
        </is>
      </c>
      <c r="C41" t="n">
        <v>1</v>
      </c>
      <c r="D41" t="inlineStr">
        <is>
          <t>LS</t>
        </is>
      </c>
      <c r="E41" s="3" t="n">
        <v>1500</v>
      </c>
      <c r="F41" s="3" t="n">
        <v>1500</v>
      </c>
      <c r="G41" s="3" t="n">
        <v>1500</v>
      </c>
      <c r="H41" s="3" t="n">
        <v>1500</v>
      </c>
      <c r="I41" s="3" t="n">
        <v>0</v>
      </c>
    </row>
    <row r="42">
      <c r="A42" t="n">
        <v>38</v>
      </c>
      <c r="B42" t="inlineStr">
        <is>
          <t>Pumping - Main Slab</t>
        </is>
      </c>
      <c r="C42" t="n">
        <v>1</v>
      </c>
      <c r="D42" t="inlineStr">
        <is>
          <t>LS</t>
        </is>
      </c>
      <c r="E42" s="3" t="n">
        <v>1500</v>
      </c>
      <c r="F42" s="3" t="n">
        <v>1500</v>
      </c>
      <c r="I42" s="3" t="n">
        <v>1500</v>
      </c>
    </row>
    <row r="43">
      <c r="A43" t="n">
        <v>39</v>
      </c>
      <c r="B43" t="inlineStr">
        <is>
          <t>Pumping - Suspended Slab</t>
        </is>
      </c>
      <c r="C43" t="n">
        <v>1</v>
      </c>
      <c r="D43" t="inlineStr">
        <is>
          <t>LS</t>
        </is>
      </c>
      <c r="E43" s="3" t="n">
        <v>1100</v>
      </c>
      <c r="F43" s="3" t="n">
        <v>1100</v>
      </c>
      <c r="G43" s="3" t="n">
        <v>1100</v>
      </c>
      <c r="H43" s="3" t="n">
        <v>1100</v>
      </c>
      <c r="I43" s="3" t="n">
        <v>0</v>
      </c>
    </row>
    <row r="44">
      <c r="A44" s="2" t="inlineStr">
        <is>
          <t>SITE / MISC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t="n">
        <v>40</v>
      </c>
      <c r="B45" t="inlineStr">
        <is>
          <t>Wash Out Pit</t>
        </is>
      </c>
      <c r="C45" t="n">
        <v>5</v>
      </c>
      <c r="D45" t="inlineStr">
        <is>
          <t>EA</t>
        </is>
      </c>
      <c r="E45" s="3" t="n">
        <v>350</v>
      </c>
      <c r="F45" s="3" t="n">
        <v>1750</v>
      </c>
      <c r="I45" s="3" t="n">
        <v>1750</v>
      </c>
    </row>
    <row r="46">
      <c r="A46" t="n">
        <v>41</v>
      </c>
      <c r="B46" t="inlineStr">
        <is>
          <t>Gradable Fill</t>
        </is>
      </c>
      <c r="C46" t="n">
        <v>1</v>
      </c>
      <c r="D46" t="inlineStr">
        <is>
          <t>LS</t>
        </is>
      </c>
      <c r="E46" s="3" t="n">
        <v>650</v>
      </c>
      <c r="F46" s="3" t="n">
        <v>650</v>
      </c>
      <c r="I46" s="3" t="n">
        <v>650</v>
      </c>
    </row>
    <row r="47">
      <c r="A47" t="n">
        <v>42</v>
      </c>
      <c r="B47" t="inlineStr">
        <is>
          <t>Skid Loader Rough Grading</t>
        </is>
      </c>
      <c r="C47" t="n">
        <v>6</v>
      </c>
      <c r="D47" t="inlineStr">
        <is>
          <t>HR</t>
        </is>
      </c>
      <c r="E47" s="3" t="n">
        <v>110</v>
      </c>
      <c r="F47" s="3" t="n">
        <v>660</v>
      </c>
      <c r="I47" s="3" t="n">
        <v>660</v>
      </c>
    </row>
    <row r="48">
      <c r="A48" t="n">
        <v>43</v>
      </c>
      <c r="B48" t="inlineStr">
        <is>
          <t>HV/AC in Slab (if needed)</t>
        </is>
      </c>
      <c r="C48" t="n">
        <v>0</v>
      </c>
      <c r="D48" t="inlineStr">
        <is>
          <t>LS</t>
        </is>
      </c>
      <c r="E48" s="3" t="n">
        <v>1500</v>
      </c>
      <c r="F48" s="3" t="n">
        <v>0</v>
      </c>
      <c r="I48" s="3" t="n">
        <v>0</v>
      </c>
    </row>
    <row r="49">
      <c r="A49" t="n">
        <v>44</v>
      </c>
      <c r="B49" t="inlineStr">
        <is>
          <t>Back Fill Plumbing</t>
        </is>
      </c>
      <c r="C49" t="n">
        <v>0</v>
      </c>
      <c r="D49" t="inlineStr">
        <is>
          <t>LS</t>
        </is>
      </c>
      <c r="E49" s="3" t="n">
        <v>300</v>
      </c>
      <c r="F49" s="3" t="n">
        <v>0</v>
      </c>
      <c r="I49" s="3" t="n">
        <v>0</v>
      </c>
    </row>
    <row r="50">
      <c r="A50" s="2" t="inlineStr">
        <is>
          <t>EXTRAS / NOT IN ORIGINAL BID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</row>
    <row r="51">
      <c r="B51" t="inlineStr">
        <is>
          <t>Vapor Barrier 15 mil</t>
        </is>
      </c>
      <c r="C51" t="n">
        <v>2366</v>
      </c>
      <c r="D51" t="inlineStr">
        <is>
          <t>SF</t>
        </is>
      </c>
      <c r="E51" s="3" t="n">
        <v>0.75</v>
      </c>
      <c r="G51" s="3" t="n">
        <v>1774.5</v>
      </c>
      <c r="H51" s="3" t="n">
        <v>1774.5</v>
      </c>
      <c r="J51" t="inlineStr">
        <is>
          <t>extra</t>
        </is>
      </c>
    </row>
    <row r="52">
      <c r="B52" t="inlineStr">
        <is>
          <t>Expansion (fiber)</t>
        </is>
      </c>
      <c r="C52" t="n">
        <v>45</v>
      </c>
      <c r="D52" t="inlineStr">
        <is>
          <t>EA</t>
        </is>
      </c>
      <c r="E52" s="3" t="n">
        <v>5.01</v>
      </c>
      <c r="G52" s="3" t="n">
        <v>225.45</v>
      </c>
      <c r="H52" s="3" t="n">
        <v>225.45</v>
      </c>
      <c r="J52" t="inlineStr">
        <is>
          <t>extra</t>
        </is>
      </c>
    </row>
    <row r="53">
      <c r="B53" t="inlineStr">
        <is>
          <t>1" Ramset Concrete Nails</t>
        </is>
      </c>
      <c r="C53" t="n">
        <v>2</v>
      </c>
      <c r="D53" t="inlineStr">
        <is>
          <t>EA</t>
        </is>
      </c>
      <c r="E53" s="3" t="n">
        <v>25</v>
      </c>
      <c r="G53" s="3" t="n">
        <v>50</v>
      </c>
      <c r="H53" s="3" t="n">
        <v>50</v>
      </c>
      <c r="J53" t="inlineStr">
        <is>
          <t>extra</t>
        </is>
      </c>
    </row>
    <row r="54">
      <c r="B54" t="inlineStr">
        <is>
          <t>Labor</t>
        </is>
      </c>
      <c r="C54" t="n">
        <v>12</v>
      </c>
      <c r="D54" t="inlineStr">
        <is>
          <t>HR</t>
        </is>
      </c>
      <c r="E54" s="3" t="n">
        <v>65</v>
      </c>
      <c r="G54" s="3" t="n">
        <v>780</v>
      </c>
      <c r="H54" s="3" t="n">
        <v>780</v>
      </c>
      <c r="J54" t="inlineStr">
        <is>
          <t>extra</t>
        </is>
      </c>
    </row>
    <row r="55">
      <c r="B55" t="inlineStr">
        <is>
          <t>Labor - pull/reset footings, retie rebar</t>
        </is>
      </c>
      <c r="C55" t="n">
        <v>64</v>
      </c>
      <c r="D55" t="inlineStr">
        <is>
          <t>HR</t>
        </is>
      </c>
      <c r="E55" s="3" t="n">
        <v>65</v>
      </c>
      <c r="G55" s="3" t="n">
        <v>4160</v>
      </c>
      <c r="H55" s="3" t="n">
        <v>4160</v>
      </c>
      <c r="J55" t="inlineStr">
        <is>
          <t>extra</t>
        </is>
      </c>
    </row>
    <row r="56">
      <c r="B56" t="inlineStr">
        <is>
          <t>Additional Concrete at Spot Footings</t>
        </is>
      </c>
      <c r="C56" t="n">
        <v>1</v>
      </c>
      <c r="D56" t="inlineStr">
        <is>
          <t>LS</t>
        </is>
      </c>
      <c r="E56" s="3" t="n">
        <v>220</v>
      </c>
      <c r="G56" s="3" t="n">
        <v>220</v>
      </c>
      <c r="H56" s="3" t="n">
        <v>220</v>
      </c>
      <c r="J56" t="inlineStr">
        <is>
          <t>extra</t>
        </is>
      </c>
    </row>
    <row r="57">
      <c r="B57" t="inlineStr">
        <is>
          <t>Cantilever Edge @ Suspended Slab</t>
        </is>
      </c>
      <c r="C57" t="n">
        <v>178</v>
      </c>
      <c r="D57" t="inlineStr">
        <is>
          <t>LF</t>
        </is>
      </c>
      <c r="E57" s="3" t="n">
        <v>2.5</v>
      </c>
      <c r="G57" s="3" t="n">
        <v>445</v>
      </c>
      <c r="H57" s="3" t="n">
        <v>445</v>
      </c>
      <c r="J57" t="inlineStr">
        <is>
          <t>extra</t>
        </is>
      </c>
    </row>
    <row r="59">
      <c r="A59" s="6" t="inlineStr"/>
      <c r="B59" s="6" t="inlineStr">
        <is>
          <t>CONTRACT (signed subcontract)</t>
        </is>
      </c>
      <c r="C59" s="6" t="inlineStr"/>
      <c r="D59" s="6" t="inlineStr"/>
      <c r="E59" s="6" t="inlineStr"/>
      <c r="F59" s="7" t="n">
        <v>198333.01</v>
      </c>
      <c r="G59" s="6" t="inlineStr"/>
      <c r="H59" s="6" t="inlineStr"/>
      <c r="I59" s="6" t="inlineStr"/>
      <c r="J59" s="6" t="inlineStr"/>
    </row>
    <row r="60">
      <c r="A60" s="6" t="inlineStr"/>
      <c r="B60" s="6" t="inlineStr">
        <is>
          <t>Estimate 19643 line total</t>
        </is>
      </c>
      <c r="C60" s="6" t="inlineStr"/>
      <c r="D60" s="6" t="inlineStr"/>
      <c r="E60" s="6" t="inlineStr"/>
      <c r="F60" s="7" t="n">
        <v>198033.01</v>
      </c>
      <c r="G60" s="6" t="inlineStr"/>
      <c r="H60" s="6" t="inlineStr"/>
      <c r="I60" s="6" t="inlineStr"/>
      <c r="J60" s="6" t="inlineStr">
        <is>
          <t>est PDF; $300 diff = plumbing line</t>
        </is>
      </c>
    </row>
    <row r="61">
      <c r="A61" s="6" t="inlineStr"/>
      <c r="B61" s="6" t="inlineStr">
        <is>
          <t>Invoice 2644 total</t>
        </is>
      </c>
      <c r="C61" s="6" t="inlineStr"/>
      <c r="D61" s="6" t="inlineStr"/>
      <c r="E61" s="6" t="inlineStr"/>
      <c r="F61" s="6" t="inlineStr"/>
      <c r="G61" s="7" t="n">
        <v>59359.14999999999</v>
      </c>
      <c r="H61" s="7" t="n">
        <v>59359.14999999999</v>
      </c>
      <c r="I61" s="6" t="inlineStr"/>
      <c r="J61" s="6" t="inlineStr">
        <is>
          <t>due 7/2/2026</t>
        </is>
      </c>
    </row>
    <row r="62">
      <c r="A62" s="6" t="inlineStr"/>
      <c r="B62" s="6" t="inlineStr">
        <is>
          <t>Billed to date</t>
        </is>
      </c>
      <c r="C62" s="6" t="inlineStr"/>
      <c r="D62" s="6" t="inlineStr"/>
      <c r="E62" s="6" t="inlineStr"/>
      <c r="F62" s="6" t="inlineStr"/>
      <c r="G62" s="6" t="inlineStr"/>
      <c r="H62" s="7" t="n">
        <v>59359.14999999999</v>
      </c>
      <c r="I62" s="7" t="n">
        <v>138973.86</v>
      </c>
      <c r="J62" s="6" t="inlineStr">
        <is>
          <t>remaining vs contract</t>
        </is>
      </c>
    </row>
    <row r="63">
      <c r="B63" t="inlineStr">
        <is>
          <t>Invoice Totals</t>
        </is>
      </c>
      <c r="G63">
        <f>SUM(G2:G59)</f>
        <v/>
      </c>
      <c r="H63">
        <f>SUM(H2:H59)</f>
        <v/>
      </c>
      <c r="I63">
        <f>SUM(I2:I59)</f>
        <v/>
      </c>
      <c r="J63">
        <f>SUM(J2:J59)</f>
        <v/>
      </c>
      <c r="K63">
        <f>SUM(K2:K59)</f>
        <v/>
      </c>
    </row>
    <row r="64">
      <c r="B64" t="inlineStr">
        <is>
          <t>Billed to date vs Contract</t>
        </is>
      </c>
      <c r="J64">
        <f>J63</f>
        <v/>
      </c>
      <c r="K64">
        <f>F61-J64</f>
        <v/>
      </c>
      <c r="L64" t="inlineStr">
        <is>
          <t>remaining vs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2026-06-17T23:25:46Z</dcterms:created>
  <dcterms:modified xmlns:dcterms="http://purl.org/dc/terms/" xmlns:xsi="http://www.w3.org/2001/XMLSchema-instance" xsi:type="dcterms:W3CDTF">2026-07-01T15:40:03Z</dcterms:modified>
</cp:coreProperties>
</file>